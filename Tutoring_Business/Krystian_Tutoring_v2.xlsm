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ab3e30f59fa8b2/FPT/Tutoring Automation/"/>
    </mc:Choice>
  </mc:AlternateContent>
  <xr:revisionPtr revIDLastSave="4" documentId="13_ncr:1_{19BBD8A9-B941-4267-BC02-F06D113E3423}" xr6:coauthVersionLast="47" xr6:coauthVersionMax="47" xr10:uidLastSave="{0A3054B7-AF73-4431-898F-FF58CE5946F0}"/>
  <bookViews>
    <workbookView xWindow="-110" yWindow="-110" windowWidth="19420" windowHeight="11500" tabRatio="500" activeTab="2" xr2:uid="{00000000-000D-0000-FFFF-FFFF00000000}"/>
  </bookViews>
  <sheets>
    <sheet name="Client Database" sheetId="2" r:id="rId1"/>
    <sheet name="Session Log (2)" sheetId="3" r:id="rId2"/>
    <sheet name="Session Log" sheetId="4" r:id="rId3"/>
    <sheet name="Message Centre" sheetId="5" r:id="rId4"/>
    <sheet name="Ready to Send" sheetId="6" r:id="rId5"/>
    <sheet name="Payment Tracker" sheetId="7" r:id="rId6"/>
    <sheet name="Setup Guide" sheetId="8" r:id="rId7"/>
    <sheet name="VBA Code" sheetId="9" r:id="rId8"/>
  </sheets>
  <functionGroups builtInGroupCount="19"/>
  <definedNames>
    <definedName name="ExternalData_1" localSheetId="1" hidden="1">'Session Log (2)'!$A$1:$I$25</definedName>
    <definedName name="ExternalData_2" localSheetId="1" hidden="1">'Session Log (2)'!$A$1:$I$25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7" l="1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176" i="4"/>
  <c r="F176" i="4"/>
  <c r="E176" i="4"/>
  <c r="D176" i="4"/>
  <c r="C176" i="4"/>
  <c r="G175" i="4"/>
  <c r="F175" i="4"/>
  <c r="E175" i="4"/>
  <c r="D175" i="4"/>
  <c r="C175" i="4"/>
  <c r="G174" i="4"/>
  <c r="F174" i="4"/>
  <c r="E174" i="4"/>
  <c r="D174" i="4"/>
  <c r="C174" i="4"/>
  <c r="G173" i="4"/>
  <c r="F173" i="4"/>
  <c r="E173" i="4"/>
  <c r="D173" i="4"/>
  <c r="C173" i="4"/>
  <c r="G172" i="4"/>
  <c r="F172" i="4"/>
  <c r="E172" i="4"/>
  <c r="D172" i="4"/>
  <c r="C172" i="4"/>
  <c r="G171" i="4"/>
  <c r="F171" i="4"/>
  <c r="E171" i="4"/>
  <c r="D171" i="4"/>
  <c r="C171" i="4"/>
  <c r="G170" i="4"/>
  <c r="F170" i="4"/>
  <c r="E170" i="4"/>
  <c r="D170" i="4"/>
  <c r="C170" i="4"/>
  <c r="G169" i="4"/>
  <c r="F169" i="4"/>
  <c r="E169" i="4"/>
  <c r="D169" i="4"/>
  <c r="C169" i="4"/>
  <c r="G168" i="4"/>
  <c r="F168" i="4"/>
  <c r="E168" i="4"/>
  <c r="D168" i="4"/>
  <c r="C168" i="4"/>
  <c r="G167" i="4"/>
  <c r="F167" i="4"/>
  <c r="E167" i="4"/>
  <c r="D167" i="4"/>
  <c r="C167" i="4"/>
  <c r="G166" i="4"/>
  <c r="F166" i="4"/>
  <c r="E166" i="4"/>
  <c r="D166" i="4"/>
  <c r="C166" i="4"/>
  <c r="G165" i="4"/>
  <c r="F165" i="4"/>
  <c r="E165" i="4"/>
  <c r="D165" i="4"/>
  <c r="C16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43078D-0727-4833-8B04-DD743E1180ED}" keepAlive="1" name="Query - Session Log (2)" description="Connection to the 'Session Log (2)' query in the workbook." type="5" refreshedVersion="8" background="1" saveData="1">
    <dbPr connection="Provider=Microsoft.Mashup.OleDb.1;Data Source=$Workbook$;Location=&quot;Session Log (2)&quot;;Extended Properties=&quot;&quot;" command="SELECT * FROM [Session Log (2)]"/>
  </connection>
</connections>
</file>

<file path=xl/sharedStrings.xml><?xml version="1.0" encoding="utf-8"?>
<sst xmlns="http://schemas.openxmlformats.org/spreadsheetml/2006/main" count="1165" uniqueCount="483">
  <si>
    <t>KRYSTIAN'S TUTORING — CLIENT DATABASE</t>
  </si>
  <si>
    <t>ID</t>
  </si>
  <si>
    <t>Parent Name</t>
  </si>
  <si>
    <t>Child(ren)</t>
  </si>
  <si>
    <t>Contact Method</t>
  </si>
  <si>
    <t>Phone Number</t>
  </si>
  <si>
    <t>Email</t>
  </si>
  <si>
    <t>Rate ($/session)</t>
  </si>
  <si>
    <t>Confirm Sent</t>
  </si>
  <si>
    <t>Payment Due</t>
  </si>
  <si>
    <t>Paid</t>
  </si>
  <si>
    <t>Notes</t>
  </si>
  <si>
    <t>Pooja</t>
  </si>
  <si>
    <t>Rihaan</t>
  </si>
  <si>
    <t>Facebook Messenger</t>
  </si>
  <si>
    <t>No</t>
  </si>
  <si>
    <t>Claire</t>
  </si>
  <si>
    <t>Lewis</t>
  </si>
  <si>
    <t>Arpan</t>
  </si>
  <si>
    <t>Adron</t>
  </si>
  <si>
    <t>SMS</t>
  </si>
  <si>
    <t>0434 819 953</t>
  </si>
  <si>
    <t>Jared</t>
  </si>
  <si>
    <t>Max</t>
  </si>
  <si>
    <t>0421 082 509</t>
  </si>
  <si>
    <t>Mat</t>
  </si>
  <si>
    <t>Leila</t>
  </si>
  <si>
    <t>0417 717 305</t>
  </si>
  <si>
    <t>Tracy</t>
  </si>
  <si>
    <t>Daughter (TBC)</t>
  </si>
  <si>
    <t>0418 226 034</t>
  </si>
  <si>
    <t>Child name TBC</t>
  </si>
  <si>
    <t>Julia</t>
  </si>
  <si>
    <t>Hayden &amp; Imogen</t>
  </si>
  <si>
    <t>Two children</t>
  </si>
  <si>
    <t>Michelle</t>
  </si>
  <si>
    <t>Grace</t>
  </si>
  <si>
    <t>0411 354 929</t>
  </si>
  <si>
    <t>Erika</t>
  </si>
  <si>
    <t>Jaxon</t>
  </si>
  <si>
    <t>0438 228 889</t>
  </si>
  <si>
    <t>Dal</t>
  </si>
  <si>
    <t>Anna &amp; Krisang</t>
  </si>
  <si>
    <t>0423 893 955</t>
  </si>
  <si>
    <t>Candice</t>
  </si>
  <si>
    <t>0402 881 975</t>
  </si>
  <si>
    <t>Julie</t>
  </si>
  <si>
    <t>Christian &amp; Charlotte</t>
  </si>
  <si>
    <t>Ivannia</t>
  </si>
  <si>
    <t>Isabella</t>
  </si>
  <si>
    <t>0468 472 900</t>
  </si>
  <si>
    <t>Daphine</t>
  </si>
  <si>
    <t>Christian</t>
  </si>
  <si>
    <t>Andrew</t>
  </si>
  <si>
    <t>Harrison &amp; Isabella</t>
  </si>
  <si>
    <t>0404 070 544</t>
  </si>
  <si>
    <t>Sam</t>
  </si>
  <si>
    <t>Astin</t>
  </si>
  <si>
    <t>0487 382 270</t>
  </si>
  <si>
    <t>Rachel &amp; Justin</t>
  </si>
  <si>
    <t>Jacob</t>
  </si>
  <si>
    <t>0402 142 563</t>
  </si>
  <si>
    <t>Address both parents</t>
  </si>
  <si>
    <t>Amanda</t>
  </si>
  <si>
    <t>Zoe</t>
  </si>
  <si>
    <t>Linda</t>
  </si>
  <si>
    <t>Josh</t>
  </si>
  <si>
    <t>0403 185 357</t>
  </si>
  <si>
    <t>Session Date</t>
  </si>
  <si>
    <t>Payment Due By</t>
  </si>
  <si>
    <t>Paid?</t>
  </si>
  <si>
    <t>Status</t>
  </si>
  <si>
    <t>Action</t>
  </si>
  <si>
    <t>Pending</t>
  </si>
  <si>
    <t>▶ RESOLVE</t>
  </si>
  <si>
    <t>SESSION LOG  —  Resolved sessions copied from Session Log (2)</t>
  </si>
  <si>
    <t>MESSAGE CENTRE  —  Select clients, choose message type, then click Generate Messages</t>
  </si>
  <si>
    <t>1. Tick YES in the 'Send?' column for each client  |  2. Choose message type  |  3. Click GENERATE MESSAGES button</t>
  </si>
  <si>
    <t>Message Type:</t>
  </si>
  <si>
    <t>▶  GENERATE MESSAGES</t>
  </si>
  <si>
    <t>Send?</t>
  </si>
  <si>
    <t>Next Session</t>
  </si>
  <si>
    <t>Amount Due ($)</t>
  </si>
  <si>
    <t>Last Sent</t>
  </si>
  <si>
    <t>READY TO SEND  —  Messages generated here after clicking GENERATE MESSAGES</t>
  </si>
  <si>
    <t>SMS clients: copy message → paste into phone Messenger app   |   Facebook clients: copy message → paste into Facebook Messenger</t>
  </si>
  <si>
    <t>Phone / Channel</t>
  </si>
  <si>
    <t>Message — Copy This</t>
  </si>
  <si>
    <t>PAYMENT TRACKER</t>
  </si>
  <si>
    <t>Date Paid</t>
  </si>
  <si>
    <t>Method</t>
  </si>
  <si>
    <t>Reference</t>
  </si>
  <si>
    <t>Outstanding ($)</t>
  </si>
  <si>
    <t>SETUP GUIDE — Read This First</t>
  </si>
  <si>
    <t>STEP 1 — Fill in client rates</t>
  </si>
  <si>
    <t>Go to 'Client Database'. Fill in the yellow Rate cells for all 19 clients. This flows through everything else.</t>
  </si>
  <si>
    <t>Also fill in Tracy's daughter's name in row 8 when you know it.</t>
  </si>
  <si>
    <t>STEP 2 — Add your bank details to the VBA macro</t>
  </si>
  <si>
    <t>Press Alt+F11 to open the VBA editor. In Module1, find YOUR_BSB and YOUR_ACCOUNT and replace with your real details.</t>
  </si>
  <si>
    <t>STEP 3 — Enable the Generate Messages button</t>
  </si>
  <si>
    <t>When you open this file, click 'Enable Macros' (or 'Enable Content') in the yellow bar at the top.</t>
  </si>
  <si>
    <t>Then go to Message Centre. Right-click on the green GENERATE MESSAGES cell → 'Assign Macro' → select 'GenerateMessages'.</t>
  </si>
  <si>
    <t>STEP 4 — Link Outlook Calendar via Power Automate (free, built into Microsoft 365)</t>
  </si>
  <si>
    <t>a) Go to https://make.powerautomate.com and sign in with your Microsoft account.</t>
  </si>
  <si>
    <t>b) Click 'Create' → 'Automated cloud flow'.</t>
  </si>
  <si>
    <t>c) Trigger: 'When a new event is created (Outlook Calendar)'.</t>
  </si>
  <si>
    <t>d) Action: 'Update a row (Excel Online)' → choose this workbook → 'Session Log' sheet.</t>
  </si>
  <si>
    <t>e) Map: Session Date = Event Start, Parent Name = Event Subject (the appointment title = parent's name).</t>
  </si>
  <si>
    <t>f) Save and test by creating a calendar appointment with a parent's name — it should appear in Session Log.</t>
  </si>
  <si>
    <t xml:space="preserve">   NOTE: This workbook must be saved to OneDrive or SharePoint (not your local desktop) for Power Automate to access it.</t>
  </si>
  <si>
    <t>STEP 5 — Daily workflow</t>
  </si>
  <si>
    <t>1. Create session in Outlook Calendar using parent's name as the title → it auto-appears in Session Log.</t>
  </si>
  <si>
    <t>2. Go to Message Centre → tick 'Yes' next to clients you want to message.</t>
  </si>
  <si>
    <t>3. Choose message type from the dropdown (Confirmation / Payment Reminder / Overdue).</t>
  </si>
  <si>
    <t>4. Click GENERATE MESSAGES → go to 'Ready to Send' sheet.</t>
  </si>
  <si>
    <t>5. SMS clients: copy the message → paste into your phone Messenger app.</t>
  </si>
  <si>
    <t>6. Facebook clients: copy the message → paste into Facebook Messenger on your phone or computer.</t>
  </si>
  <si>
    <t>7. Mark payment as received in Payment Tracker when it comes through.</t>
  </si>
  <si>
    <t>FACEBOOK-ONLY CLIENTS (no phone number)</t>
  </si>
  <si>
    <t>Pooja, Claire, Julia, Julie, Daphine, Amanda — messages for these will appear in 'Ready to Send' labelled 'Facebook Messenger'.</t>
  </si>
  <si>
    <t>STEP 6 — Import the new VBA code</t>
  </si>
  <si>
    <t>Go to the 'VBA Code' sheet in this workbook. Press Alt+F11 to open the VBA Editor. In the left panel, double-click Module1. Select all (Ctrl+A), then paste the code from the VBA Code sheet (Ctrl+V). Close the editor (Alt+Q). This adds: Resolve buttons, MacroDroid SMS sending, and Facebook pop-ups.</t>
  </si>
  <si>
    <t>VBA MODULE — ONE-TIME SETUP: Copy all code below into the VBA Editor</t>
  </si>
  <si>
    <t>HOW TO IMPORT: Press Alt+F11 → double-click Module1 in left panel → select ALL existing code (Ctrl+A) → paste this code (Ctrl+V) → close editor (Alt+Q)</t>
  </si>
  <si>
    <t>Attribute VB_Name = "Module1"</t>
  </si>
  <si>
    <t>' ============================================================</t>
  </si>
  <si>
    <t>' Krystian Tutoring — Full Automation Module</t>
  </si>
  <si>
    <t>' SETUP REQUIRED:</t>
  </si>
  <si>
    <t>'   1. Replace YOUR_BSB and YOUR_ACCOUNT with real bank details</t>
  </si>
  <si>
    <t>'   2. Replace MACRODROID_WEBHOOK_URL with your MacroDroid webhook URL</t>
  </si>
  <si>
    <t>'      (See 'MacroDroid Setup' sheet for step-by-step instructions)</t>
  </si>
  <si>
    <t>Const YOUR_BSB As String = "XXX-XXX"</t>
  </si>
  <si>
    <t>Const YOUR_ACCOUNT As String = "XXXXXXXXX"</t>
  </si>
  <si>
    <t>Const YOUR_NAME As String = "Krystian"</t>
  </si>
  <si>
    <t>Const MACRODROID_WEBHOOK_URL As String = "https://trigger.macrodroid.com/YOUR_ID_HERE/krystian_sms"</t>
  </si>
  <si>
    <t>'  ^^ Replace with your MacroDroid webhook URL (see MacroDroid Setup sheet)</t>
  </si>
  <si>
    <t>' SESSION LOG RESOLVE — Called when RESOLVE button row is clicked</t>
  </si>
  <si>
    <t>Sub ResolveSession(sourceRow As Long)</t>
  </si>
  <si>
    <t xml:space="preserve">    ' Copies a resolved session from Session Log (2) to Session Log</t>
  </si>
  <si>
    <t xml:space="preserve">    ' then marks the row as Resolved in Session Log (2)</t>
  </si>
  <si>
    <t xml:space="preserve">    Dim wsSL2 As Worksheet, wsSL As Worksheet</t>
  </si>
  <si>
    <t xml:space="preserve">    Set wsSL2 = ThisWorkbook.Sheets("Session Log (2)")</t>
  </si>
  <si>
    <t xml:space="preserve">    Set wsSL = ThisWorkbook.Sheets("Session Log")</t>
  </si>
  <si>
    <t xml:space="preserve">    ' Check there is data on that row</t>
  </si>
  <si>
    <t xml:space="preserve">    If Trim(CStr(wsSL2.Cells(sourceRow, 2).Value)) = "" Then</t>
  </si>
  <si>
    <t xml:space="preserve">        MsgBox "No parent name found on this row.", vbExclamation</t>
  </si>
  <si>
    <t xml:space="preserve">        Exit Sub</t>
  </si>
  <si>
    <t xml:space="preserve">    End If</t>
  </si>
  <si>
    <t xml:space="preserve">    ' Check not already resolved</t>
  </si>
  <si>
    <t xml:space="preserve">    Dim statusVal As String</t>
  </si>
  <si>
    <t xml:space="preserve">    statusVal = Trim(wsSL2.Cells(sourceRow, 10).Value)</t>
  </si>
  <si>
    <t xml:space="preserve">    If UCase(statusVal) = "RESOLVED" Then</t>
  </si>
  <si>
    <t xml:space="preserve">        MsgBox "This session has already been resolved.", vbInformation</t>
  </si>
  <si>
    <t xml:space="preserve">    ' Find next empty row in Session Log (data starts at row 3, header row 2)</t>
  </si>
  <si>
    <t xml:space="preserve">    Dim destRow As Long</t>
  </si>
  <si>
    <t xml:space="preserve">    destRow = 3</t>
  </si>
  <si>
    <t xml:space="preserve">    Do While wsSL.Cells(destRow, 2).Value &lt;&gt; "" Or _</t>
  </si>
  <si>
    <t xml:space="preserve">             (wsSL.Cells(destRow, 2).Value = "" And destRow &lt; 10)</t>
  </si>
  <si>
    <t xml:space="preserve">        ' Skip rows that already have parent name OR are the first 5 template rows</t>
  </si>
  <si>
    <t xml:space="preserve">        If destRow &gt; 200 Then Exit Do</t>
  </si>
  <si>
    <t xml:space="preserve">        destRow = destRow + 1</t>
  </si>
  <si>
    <t xml:space="preserve">        If destRow &gt; 5 And wsSL.Cells(destRow, 2).Value = "" Then Exit Do</t>
  </si>
  <si>
    <t xml:space="preserve">    Loop</t>
  </si>
  <si>
    <t xml:space="preserve">    ' Copy the raw data values (not formulas) from Session Log (2)</t>
  </si>
  <si>
    <t xml:space="preserve">    ' Cols: A=Session Date, B=Parent Name, I=Notes (skip C-H — Session Log has VLOOKUP for those)</t>
  </si>
  <si>
    <t xml:space="preserve">    wsSL.Cells(destRow, 1).Value = wsSL2.Cells(sourceRow, 1).Value  ' Session Date</t>
  </si>
  <si>
    <t xml:space="preserve">    wsSL.Cells(destRow, 1).NumberFormat = "dd/mm/yyyy hh:mm"</t>
  </si>
  <si>
    <t xml:space="preserve">    wsSL.Cells(destRow, 2).Value = wsSL2.Cells(sourceRow, 2).Value  ' Parent Name</t>
  </si>
  <si>
    <t xml:space="preserve">    ' Cols C-F are auto-populated by VLOOKUP in Session Log</t>
  </si>
  <si>
    <t xml:space="preserve">    ' Col G (Payment Due By) formula already present</t>
  </si>
  <si>
    <t xml:space="preserve">    ' Copy Paid status and Notes if set in Session Log (2)</t>
  </si>
  <si>
    <t xml:space="preserve">    If wsSL2.Cells(sourceRow, 8).Value &lt;&gt; "" Then</t>
  </si>
  <si>
    <t xml:space="preserve">        wsSL.Cells(destRow, 8).Value = wsSL2.Cells(sourceRow, 8).Value  ' Paid?</t>
  </si>
  <si>
    <t xml:space="preserve">    If wsSL2.Cells(sourceRow, 9).Value &lt;&gt; "" Then</t>
  </si>
  <si>
    <t xml:space="preserve">        wsSL.Cells(destRow, 9).Value = wsSL2.Cells(sourceRow, 9).Value  ' Notes</t>
  </si>
  <si>
    <t xml:space="preserve">    ' Mark as Resolved in Session Log (2)</t>
  </si>
  <si>
    <t xml:space="preserve">    wsSL2.Cells(sourceRow, 10).Value = "Resolved"</t>
  </si>
  <si>
    <t xml:space="preserve">    wsSL2.Cells(sourceRow, 10).Interior.Color = RGB(197, 224, 180)</t>
  </si>
  <si>
    <t xml:space="preserve">    wsSL2.Cells(sourceRow, 10).Font.Color = RGB(56, 87, 35)</t>
  </si>
  <si>
    <t xml:space="preserve">    wsSL2.Cells(sourceRow, 10).Font.Bold = True</t>
  </si>
  <si>
    <t xml:space="preserve">    ' Grey out the resolved row in Session Log (2)</t>
  </si>
  <si>
    <t xml:space="preserve">    Dim greyCol As Long</t>
  </si>
  <si>
    <t xml:space="preserve">    greyCol = RGB(217, 217, 217)</t>
  </si>
  <si>
    <t xml:space="preserve">    Dim c As Integer</t>
  </si>
  <si>
    <t xml:space="preserve">    For c = 1 To 9</t>
  </si>
  <si>
    <t xml:space="preserve">        wsSL2.Cells(sourceRow, c).Interior.Color = greyCol</t>
  </si>
  <si>
    <t xml:space="preserve">    Next c</t>
  </si>
  <si>
    <t xml:space="preserve">    MsgBox "Session resolved! ✓" &amp; Chr(10) &amp; _</t>
  </si>
  <si>
    <t xml:space="preserve">           "Parent: " &amp; wsSL2.Cells(sourceRow, 2).Value &amp; Chr(10) &amp; _</t>
  </si>
  <si>
    <t xml:space="preserve">           "Copied to 'Session Log' row " &amp; destRow &amp; ".", _</t>
  </si>
  <si>
    <t xml:space="preserve">           vbInformation, "Session Resolved"</t>
  </si>
  <si>
    <t>End Sub</t>
  </si>
  <si>
    <t>' SESSION LOG (2) — Click handler for RESOLVE buttons</t>
  </si>
  <si>
    <t>Sub ClickResolveRow2():  Call ResolveSession(2):  End Sub</t>
  </si>
  <si>
    <t>Sub ClickResolveRow3():  Call ResolveSession(3):  End Sub</t>
  </si>
  <si>
    <t>Sub ClickResolveRow4():  Call ResolveSession(4):  End Sub</t>
  </si>
  <si>
    <t>Sub ClickResolveRow5():  Call ResolveSession(5):  End Sub</t>
  </si>
  <si>
    <t>Sub ClickResolveRow6():  Call ResolveSession(6):  End Sub</t>
  </si>
  <si>
    <t>Sub ClickResolveRow7():  Call ResolveSession(7):  End Sub</t>
  </si>
  <si>
    <t>Sub ClickResolveRow8():  Call ResolveSession(8):  End Sub</t>
  </si>
  <si>
    <t>Sub ClickResolveRow9():  Call ResolveSession(9):  End Sub</t>
  </si>
  <si>
    <t>Sub ClickResolveRow10(): Call ResolveSession(10): End Sub</t>
  </si>
  <si>
    <t>Sub ClickResolveRow11(): Call ResolveSession(11): End Sub</t>
  </si>
  <si>
    <t>Sub ClickResolveRow12(): Call ResolveSession(12): End Sub</t>
  </si>
  <si>
    <t>Sub ClickResolveRow13(): Call ResolveSession(13): End Sub</t>
  </si>
  <si>
    <t>Sub ClickResolveRow14(): Call ResolveSession(14): End Sub</t>
  </si>
  <si>
    <t>Sub ClickResolveRow15(): Call ResolveSession(15): End Sub</t>
  </si>
  <si>
    <t>Sub ClickResolveRow16(): Call ResolveSession(16): End Sub</t>
  </si>
  <si>
    <t>Sub ClickResolveRow17(): Call ResolveSession(17): End Sub</t>
  </si>
  <si>
    <t>Sub ClickResolveRow18(): Call ResolveSession(18): End Sub</t>
  </si>
  <si>
    <t>Sub ClickResolveRow19(): Call ResolveSession(19): End Sub</t>
  </si>
  <si>
    <t>Sub ClickResolveRow20(): Call ResolveSession(20): End Sub</t>
  </si>
  <si>
    <t>' ADD NEW SESSION ROW — Adds a blank row to Session Log (2)</t>
  </si>
  <si>
    <t>' with Resolve button assigned automatically</t>
  </si>
  <si>
    <t>Sub AddNewSessionRow()</t>
  </si>
  <si>
    <t xml:space="preserve">    Dim ws As Worksheet</t>
  </si>
  <si>
    <t xml:space="preserve">    Set ws = ThisWorkbook.Sheets("Session Log (2)")</t>
  </si>
  <si>
    <t xml:space="preserve">    ' Find next empty row</t>
  </si>
  <si>
    <t xml:space="preserve">    Dim newRow As Long</t>
  </si>
  <si>
    <t xml:space="preserve">    newRow = 2</t>
  </si>
  <si>
    <t xml:space="preserve">    Do While ws.Cells(newRow, 1).Value &lt;&gt; "" Or ws.Cells(newRow, 2).Value &lt;&gt; ""</t>
  </si>
  <si>
    <t xml:space="preserve">        newRow = newRow + 1</t>
  </si>
  <si>
    <t xml:space="preserve">        If newRow &gt; 200 Then</t>
  </si>
  <si>
    <t xml:space="preserve">            MsgBox "Sheet appears full. Please clear resolved rows.", vbExclamation</t>
  </si>
  <si>
    <t xml:space="preserve">            Exit Sub</t>
  </si>
  <si>
    <t xml:space="preserve">        End If</t>
  </si>
  <si>
    <t xml:space="preserve">    ' Add default status</t>
  </si>
  <si>
    <t xml:space="preserve">    ws.Cells(newRow, 10).Value = "Pending"</t>
  </si>
  <si>
    <t xml:space="preserve">    ws.Cells(newRow, 10).Alignment.Horizontal = xlHAlignCenter</t>
  </si>
  <si>
    <t xml:space="preserve">    ' Add RESOLVE button</t>
  </si>
  <si>
    <t xml:space="preserve">    Dim btn As Object</t>
  </si>
  <si>
    <t xml:space="preserve">    Dim cellLeft As Double, cellTop As Double, cellWidth As Double, cellHeight As Double</t>
  </si>
  <si>
    <t xml:space="preserve">    cellLeft = ws.Cells(newRow, 11).Left</t>
  </si>
  <si>
    <t xml:space="preserve">    cellTop = ws.Cells(newRow, 11).Top</t>
  </si>
  <si>
    <t xml:space="preserve">    cellWidth = ws.Cells(newRow, 11).Width</t>
  </si>
  <si>
    <t xml:space="preserve">    cellHeight = ws.Cells(newRow, 11).Height</t>
  </si>
  <si>
    <t xml:space="preserve">    Set btn = ws.Buttons.Add(cellLeft + 1, cellTop + 1, cellWidth - 2, cellHeight - 2)</t>
  </si>
  <si>
    <t xml:space="preserve">    btn.Caption = "RESOLVE"</t>
  </si>
  <si>
    <t xml:space="preserve">    btn.Font.Bold = True</t>
  </si>
  <si>
    <t xml:space="preserve">    btn.Font.Size = 9</t>
  </si>
  <si>
    <t xml:space="preserve">    ' Assign the correct row macro</t>
  </si>
  <si>
    <t xml:space="preserve">    If newRow &lt;= 20 Then</t>
  </si>
  <si>
    <t xml:space="preserve">        btn.OnAction = "ClickResolveRow" &amp; newRow</t>
  </si>
  <si>
    <t xml:space="preserve">    Else</t>
  </si>
  <si>
    <t xml:space="preserve">        btn.OnAction = "ResolveSessionDynamic"</t>
  </si>
  <si>
    <t xml:space="preserve">    ws.Cells(newRow, 1).Select</t>
  </si>
  <si>
    <t xml:space="preserve">    MsgBox "New row added at row " &amp; newRow &amp; ". Enter session date and parent name.", vbInformation</t>
  </si>
  <si>
    <t>' GENERATE MESSAGES — Updated version with MacroDroid SMS send</t>
  </si>
  <si>
    <t>Sub GenerateMessages()</t>
  </si>
  <si>
    <t xml:space="preserve">    Dim wsMC As Worksheet, wsRS As Worksheet, wsDB As Worksheet</t>
  </si>
  <si>
    <t xml:space="preserve">    Set wsMC = ThisWorkbook.Sheets("Message Centre")</t>
  </si>
  <si>
    <t xml:space="preserve">    Set wsRS = ThisWorkbook.Sheets("Ready to Send")</t>
  </si>
  <si>
    <t xml:space="preserve">    Set wsDB = ThisWorkbook.Sheets("Client Database")</t>
  </si>
  <si>
    <t xml:space="preserve">    Dim msgType As String</t>
  </si>
  <si>
    <t xml:space="preserve">    msgType = wsMC.Range("D3").Value</t>
  </si>
  <si>
    <t xml:space="preserve">    If msgType = "" Then</t>
  </si>
  <si>
    <t xml:space="preserve">        MsgBox "Please select a Message Type from the dropdown in cell D3.", vbExclamation</t>
  </si>
  <si>
    <t xml:space="preserve">    ' Clear previous messages</t>
  </si>
  <si>
    <t xml:space="preserve">    wsRS.Range("A4:E100").ClearContents</t>
  </si>
  <si>
    <t xml:space="preserve">    For r = 4 To 100</t>
  </si>
  <si>
    <t xml:space="preserve">        wsRS.Rows(r).RowHeight = 60</t>
  </si>
  <si>
    <t xml:space="preserve">    Next r</t>
  </si>
  <si>
    <t xml:space="preserve">    Dim outputRow As Long</t>
  </si>
  <si>
    <t xml:space="preserve">    outputRow = 4</t>
  </si>
  <si>
    <t xml:space="preserve">    Dim smsCount As Long</t>
  </si>
  <si>
    <t xml:space="preserve">    Dim fbCount As Long</t>
  </si>
  <si>
    <t xml:space="preserve">    smsCount = 0</t>
  </si>
  <si>
    <t xml:space="preserve">    fbCount = 0</t>
  </si>
  <si>
    <t xml:space="preserve">    Dim i As Long</t>
  </si>
  <si>
    <t xml:space="preserve">    For i = 5 To 23</t>
  </si>
  <si>
    <t xml:space="preserve">        Dim sendFlag As String</t>
  </si>
  <si>
    <t xml:space="preserve">        sendFlag = Trim(wsMC.Cells(i, 1).Value)</t>
  </si>
  <si>
    <t xml:space="preserve">        If UCase(sendFlag) = "YES" Then</t>
  </si>
  <si>
    <t xml:space="preserve">            Dim parentName As String, children As String</t>
  </si>
  <si>
    <t xml:space="preserve">            Dim contactMeth As String, phone As String</t>
  </si>
  <si>
    <t xml:space="preserve">            Dim sessionDate As String, amountDue As String</t>
  </si>
  <si>
    <t xml:space="preserve">            parentName = Trim(wsMC.Cells(i, 2).Value)</t>
  </si>
  <si>
    <t xml:space="preserve">            children = Trim(wsMC.Cells(i, 3).Value)</t>
  </si>
  <si>
    <t xml:space="preserve">            contactMeth = Trim(wsMC.Cells(i, 4).Value)</t>
  </si>
  <si>
    <t xml:space="preserve">            phone = Trim(wsMC.Cells(i, 5).Value)</t>
  </si>
  <si>
    <t xml:space="preserve">            Dim sdVal As Variant</t>
  </si>
  <si>
    <t xml:space="preserve">            sdVal = wsMC.Cells(i, 6).Value</t>
  </si>
  <si>
    <t xml:space="preserve">            If IsDate(sdVal) Then</t>
  </si>
  <si>
    <t xml:space="preserve">                sessionDate = Format(CDate(sdVal), "dddd d MMMM")</t>
  </si>
  <si>
    <t xml:space="preserve">            Else</t>
  </si>
  <si>
    <t xml:space="preserve">                sessionDate = "[session date]"</t>
  </si>
  <si>
    <t xml:space="preserve">            End If</t>
  </si>
  <si>
    <t xml:space="preserve">            Dim adVal As Variant</t>
  </si>
  <si>
    <t xml:space="preserve">            adVal = wsMC.Cells(i, 7).Value</t>
  </si>
  <si>
    <t xml:space="preserve">            If IsNumeric(adVal) And adVal &gt; 0 Then</t>
  </si>
  <si>
    <t xml:space="preserve">                amountDue = "$" &amp; Format(adVal, "0.00")</t>
  </si>
  <si>
    <t xml:space="preserve">                amountDue = "[amount]"</t>
  </si>
  <si>
    <t xml:space="preserve">            Dim msg As String</t>
  </si>
  <si>
    <t xml:space="preserve">            msg = BuildMessage(msgType, parentName, children, sessionDate, amountDue)</t>
  </si>
  <si>
    <t xml:space="preserve">            ' Write to Ready to Send</t>
  </si>
  <si>
    <t xml:space="preserve">            wsRS.Cells(outputRow, 1).Value = parentName</t>
  </si>
  <si>
    <t xml:space="preserve">            wsRS.Cells(outputRow, 2).Value = contactMeth</t>
  </si>
  <si>
    <t xml:space="preserve">            If phone &lt;&gt; "" Then</t>
  </si>
  <si>
    <t xml:space="preserve">                wsRS.Cells(outputRow, 3).Value = phone</t>
  </si>
  <si>
    <t xml:space="preserve">                wsRS.Cells(outputRow, 3).Value = "Facebook Messenger"</t>
  </si>
  <si>
    <t xml:space="preserve">            wsRS.Cells(outputRow, 4).Value = msg</t>
  </si>
  <si>
    <t xml:space="preserve">            ' Style row</t>
  </si>
  <si>
    <t xml:space="preserve">            wsRS.Rows(outputRow).RowHeight = 75</t>
  </si>
  <si>
    <t xml:space="preserve">            Dim bgCol As Long</t>
  </si>
  <si>
    <t xml:space="preserve">            If InStr(LCase(contactMeth), "facebook") &gt; 0 Then</t>
  </si>
  <si>
    <t xml:space="preserve">                bgCol = RGB(255, 242, 204)</t>
  </si>
  <si>
    <t xml:space="preserve">                fbCount = fbCount + 1</t>
  </si>
  <si>
    <t xml:space="preserve">                bgCol = RGB(226, 239, 218)</t>
  </si>
  <si>
    <t xml:space="preserve">                smsCount = smsCount + 1</t>
  </si>
  <si>
    <t xml:space="preserve">            wsRS.Range(wsRS.Cells(outputRow, 1), wsRS.Cells(outputRow, 4)).Interior.Color = bgCol</t>
  </si>
  <si>
    <t xml:space="preserve">            wsRS.Cells(outputRow, 4).WrapText = True</t>
  </si>
  <si>
    <t xml:space="preserve">            wsRS.Cells(outputRow, 4).Font.Name = "Arial"</t>
  </si>
  <si>
    <t xml:space="preserve">            wsRS.Cells(outputRow, 4).Font.Size = 10</t>
  </si>
  <si>
    <t xml:space="preserve">            wsMC.Cells(i, 8).Value = Now()</t>
  </si>
  <si>
    <t xml:space="preserve">            wsMC.Cells(i, 8).NumberFormat = "dd/mm/yyyy hh:mm"</t>
  </si>
  <si>
    <t xml:space="preserve">            outputRow = outputRow + 1</t>
  </si>
  <si>
    <t xml:space="preserve">    Next i</t>
  </si>
  <si>
    <t xml:space="preserve">    If outputRow = 4 Then</t>
  </si>
  <si>
    <t xml:space="preserve">        MsgBox "No clients selected. Tick 'Yes' in the Send? column first.", vbInformation</t>
  </si>
  <si>
    <t xml:space="preserve">    wsRS.Activate</t>
  </si>
  <si>
    <t xml:space="preserve">    wsRS.Range("A1").Select</t>
  </si>
  <si>
    <t xml:space="preserve">    ' Offer to send SMS now via MacroDroid</t>
  </si>
  <si>
    <t xml:space="preserve">    If smsCount &gt; 0 Then</t>
  </si>
  <si>
    <t xml:space="preserve">        Dim doSend As Integer</t>
  </si>
  <si>
    <t xml:space="preserve">        doSend = MsgBox(outputRow - 4 &amp; " message(s) generated." &amp; Chr(10) &amp; Chr(10) &amp; _</t>
  </si>
  <si>
    <t xml:space="preserve">                        smsCount &amp; " SMS client(s) — click YES to send via MacroDroid now." &amp; Chr(10) &amp; _</t>
  </si>
  <si>
    <t xml:space="preserve">                        fbCount &amp; " Facebook client(s) — will show pop-up to copy." &amp; Chr(10) &amp; Chr(10) &amp; _</t>
  </si>
  <si>
    <t xml:space="preserve">                        "Send SMS messages now?", vbYesNo + vbQuestion, "Send Messages?")</t>
  </si>
  <si>
    <t xml:space="preserve">        If doSend = vbYes Then</t>
  </si>
  <si>
    <t xml:space="preserve">            Call SendAllSMS</t>
  </si>
  <si>
    <t xml:space="preserve">        MsgBox outputRow - 4 &amp; " message(s) generated." &amp; Chr(10) &amp; _</t>
  </si>
  <si>
    <t xml:space="preserve">               "All are Facebook clients — use the pop-up copy buttons below.", _</t>
  </si>
  <si>
    <t xml:space="preserve">               vbInformation, "Messages Ready"</t>
  </si>
  <si>
    <t xml:space="preserve">        Call ShowFacebookPopups</t>
  </si>
  <si>
    <t>' SEND ALL SMS via MacroDroid Webhook</t>
  </si>
  <si>
    <t>Sub SendAllSMS()</t>
  </si>
  <si>
    <t xml:space="preserve">    Dim wsRS As Worksheet</t>
  </si>
  <si>
    <t xml:space="preserve">    ' Check webhook URL is configured</t>
  </si>
  <si>
    <t xml:space="preserve">    If InStr(MACRODROID_WEBHOOK_URL, "YOUR_ID_HERE") &gt; 0 Then</t>
  </si>
  <si>
    <t xml:space="preserve">        MsgBox "MacroDroid webhook URL not configured yet." &amp; Chr(10) &amp; Chr(10) &amp; _</t>
  </si>
  <si>
    <t xml:space="preserve">               "Please:" &amp; Chr(10) &amp; _</t>
  </si>
  <si>
    <t xml:space="preserve">               "1. Set up MacroDroid on your Android phone (see 'MacroDroid Setup' sheet)" &amp; Chr(10) &amp; _</t>
  </si>
  <si>
    <t xml:space="preserve">               "2. Open VBA Editor (Alt+F11) → Module1" &amp; Chr(10) &amp; _</t>
  </si>
  <si>
    <t xml:space="preserve">               "3. Replace MACRODROID_WEBHOOK_URL with your webhook URL", _</t>
  </si>
  <si>
    <t xml:space="preserve">               vbExclamation, "Setup Required"</t>
  </si>
  <si>
    <t xml:space="preserve">    Dim r As Long</t>
  </si>
  <si>
    <t xml:space="preserve">    Dim sentCount As Long</t>
  </si>
  <si>
    <t xml:space="preserve">    Dim failCount As Long</t>
  </si>
  <si>
    <t xml:space="preserve">    sentCount = 0</t>
  </si>
  <si>
    <t xml:space="preserve">    failCount = 0</t>
  </si>
  <si>
    <t xml:space="preserve">        Dim contactMeth As String</t>
  </si>
  <si>
    <t xml:space="preserve">        contactMeth = Trim(wsRS.Cells(r, 2).Value)</t>
  </si>
  <si>
    <t xml:space="preserve">        If contactMeth = "" Then Exit For</t>
  </si>
  <si>
    <t xml:space="preserve">        Dim phone As String</t>
  </si>
  <si>
    <t xml:space="preserve">        Dim msgText As String</t>
  </si>
  <si>
    <t xml:space="preserve">        phone = Trim(wsRS.Cells(r, 3).Value)</t>
  </si>
  <si>
    <t xml:space="preserve">        msgText = Trim(wsRS.Cells(r, 4).Value)</t>
  </si>
  <si>
    <t xml:space="preserve">        If InStr(LCase(contactMeth), "sms") &gt; 0 And phone &lt;&gt; "" Then</t>
  </si>
  <si>
    <t xml:space="preserve">            ' Send via MacroDroid webhook using WinHTTP</t>
  </si>
  <si>
    <t xml:space="preserve">            Dim success As Boolean</t>
  </si>
  <si>
    <t xml:space="preserve">            success = SendWebhookSMS(phone, msgText)</t>
  </si>
  <si>
    <t xml:space="preserve">            If success Then</t>
  </si>
  <si>
    <t xml:space="preserve">                wsRS.Cells(r, 5).Value = "Sent ✓"</t>
  </si>
  <si>
    <t xml:space="preserve">                wsRS.Cells(r, 5).Font.Color = RGB(56, 87, 35)</t>
  </si>
  <si>
    <t xml:space="preserve">                wsRS.Cells(r, 5).Font.Bold = True</t>
  </si>
  <si>
    <t xml:space="preserve">                sentCount = sentCount + 1</t>
  </si>
  <si>
    <t xml:space="preserve">                wsRS.Cells(r, 5).Value = "Failed ✗"</t>
  </si>
  <si>
    <t xml:space="preserve">                wsRS.Cells(r, 5).Font.Color = RGB(192, 0, 0)</t>
  </si>
  <si>
    <t xml:space="preserve">                failCount = failCount + 1</t>
  </si>
  <si>
    <t xml:space="preserve">        ElseIf InStr(LCase(contactMeth), "facebook") &gt; 0 Then</t>
  </si>
  <si>
    <t xml:space="preserve">            ' Show pop-up for Facebook clients</t>
  </si>
  <si>
    <t xml:space="preserve">            Call ShowFacebookPopup(wsRS.Cells(r, 1).Value, msgText)</t>
  </si>
  <si>
    <t xml:space="preserve">    Dim summary As String</t>
  </si>
  <si>
    <t xml:space="preserve">    summary = "SMS sending complete." &amp; Chr(10) &amp; Chr(10) &amp; _</t>
  </si>
  <si>
    <t xml:space="preserve">              sentCount &amp; " sent successfully via MacroDroid." &amp; Chr(10)</t>
  </si>
  <si>
    <t xml:space="preserve">    If failCount &gt; 0 Then</t>
  </si>
  <si>
    <t xml:space="preserve">        summary = summary &amp; failCount &amp; " failed — check your phone has internet and MacroDroid is running."</t>
  </si>
  <si>
    <t xml:space="preserve">    MsgBox summary, vbInformation, "Send Complete"</t>
  </si>
  <si>
    <t>' SEND SINGLE SMS via MacroDroid HTTP Webhook</t>
  </si>
  <si>
    <t>Function SendWebhookSMS(phoneNum As String, msgText As String) As Boolean</t>
  </si>
  <si>
    <t xml:space="preserve">    On Error GoTo errHandler</t>
  </si>
  <si>
    <t xml:space="preserve">    ' Build the webhook URL with query parameters</t>
  </si>
  <si>
    <t xml:space="preserve">    Dim cleanPhone As String</t>
  </si>
  <si>
    <t xml:space="preserve">    cleanPhone = Replace(phoneNum, " ", "")</t>
  </si>
  <si>
    <t xml:space="preserve">    ' URL-encode the message (basic encoding)</t>
  </si>
  <si>
    <t xml:space="preserve">    Dim encodedMsg As String</t>
  </si>
  <si>
    <t xml:space="preserve">    encodedMsg = EncodeURL(msgText)</t>
  </si>
  <si>
    <t xml:space="preserve">    Dim fullURL As String</t>
  </si>
  <si>
    <t xml:space="preserve">    fullURL = MACRODROID_WEBHOOK_URL &amp; "?phone=" &amp; cleanPhone &amp; "&amp;message=" &amp; encodedMsg</t>
  </si>
  <si>
    <t xml:space="preserve">    ' Use WinHTTP to call the webhook</t>
  </si>
  <si>
    <t xml:space="preserve">    Dim http As Object</t>
  </si>
  <si>
    <t xml:space="preserve">    Set http = CreateObject("WinHttp.WinHttpRequest.5.1")</t>
  </si>
  <si>
    <t xml:space="preserve">    http.Open "GET", fullURL, False</t>
  </si>
  <si>
    <t xml:space="preserve">    http.SetTimeouts 5000, 5000, 10000, 10000</t>
  </si>
  <si>
    <t xml:space="preserve">    http.Send</t>
  </si>
  <si>
    <t xml:space="preserve">    If http.Status = 200 Then</t>
  </si>
  <si>
    <t xml:space="preserve">        SendWebhookSMS = True</t>
  </si>
  <si>
    <t xml:space="preserve">        SendWebhookSMS = False</t>
  </si>
  <si>
    <t xml:space="preserve">    Exit Function</t>
  </si>
  <si>
    <t>errHandler:</t>
  </si>
  <si>
    <t xml:space="preserve">    SendWebhookSMS = False</t>
  </si>
  <si>
    <t>End Function</t>
  </si>
  <si>
    <t>' URL ENCODE helper</t>
  </si>
  <si>
    <t>Function EncodeURL(txt As String) As String</t>
  </si>
  <si>
    <t xml:space="preserve">    Dim i As Long, c As String, code As Integer</t>
  </si>
  <si>
    <t xml:space="preserve">    Dim result As String</t>
  </si>
  <si>
    <t xml:space="preserve">    result = ""</t>
  </si>
  <si>
    <t xml:space="preserve">    For i = 1 To Len(txt)</t>
  </si>
  <si>
    <t xml:space="preserve">        c = Mid(txt, i, 1)</t>
  </si>
  <si>
    <t xml:space="preserve">        code = Asc(c)</t>
  </si>
  <si>
    <t xml:space="preserve">        Select Case code</t>
  </si>
  <si>
    <t xml:space="preserve">            Case 48 To 57, 65 To 90, 97 To 122  ' 0-9, A-Z, a-z</t>
  </si>
  <si>
    <t xml:space="preserve">                result = result &amp; c</t>
  </si>
  <si>
    <t xml:space="preserve">            Case 32  ' space</t>
  </si>
  <si>
    <t xml:space="preserve">                result = result &amp; "+"</t>
  </si>
  <si>
    <t xml:space="preserve">            Case Else</t>
  </si>
  <si>
    <t xml:space="preserve">                result = result &amp; "%" &amp; Hex(code)</t>
  </si>
  <si>
    <t xml:space="preserve">        End Select</t>
  </si>
  <si>
    <t xml:space="preserve">    EncodeURL = result</t>
  </si>
  <si>
    <t>' SHOW FACEBOOK POP-UP for a single client</t>
  </si>
  <si>
    <t>Sub ShowFacebookPopup(parentName As String, msgText As String)</t>
  </si>
  <si>
    <t xml:space="preserve">    ' Show message in a MsgBox so user can copy it</t>
  </si>
  <si>
    <t xml:space="preserve">    Dim copyPrompt As String</t>
  </si>
  <si>
    <t xml:space="preserve">    copyPrompt = "Facebook message for " &amp; parentName &amp; ":" &amp; Chr(10) &amp; Chr(10) &amp; _</t>
  </si>
  <si>
    <t xml:space="preserve">                 "─────────────────────────────────" &amp; Chr(10) &amp; _</t>
  </si>
  <si>
    <t xml:space="preserve">                 msgText &amp; Chr(10) &amp; _</t>
  </si>
  <si>
    <t xml:space="preserve">                 "─────────────────────────────────" &amp; Chr(10) &amp; Chr(10) &amp; _</t>
  </si>
  <si>
    <t xml:space="preserve">                 "Select and copy the message above, then paste into Facebook Messenger."</t>
  </si>
  <si>
    <t xml:space="preserve">    ' Put message in clipboard automatically</t>
  </si>
  <si>
    <t xml:space="preserve">    Dim clip As Object</t>
  </si>
  <si>
    <t xml:space="preserve">    On Error Resume Next</t>
  </si>
  <si>
    <t xml:space="preserve">    Set clip = CreateObject("HTMLFile")</t>
  </si>
  <si>
    <t xml:space="preserve">    If Not clip Is Nothing Then</t>
  </si>
  <si>
    <t xml:space="preserve">        Dim win As Object</t>
  </si>
  <si>
    <t xml:space="preserve">        Set win = clip.parentWindow</t>
  </si>
  <si>
    <t xml:space="preserve">        win.clipboardData.setData "text", msgText</t>
  </si>
  <si>
    <t xml:space="preserve">    On Error GoTo 0</t>
  </si>
  <si>
    <t xml:space="preserve">    MsgBox copyPrompt, vbInformation, "Facebook Message — " &amp; parentName</t>
  </si>
  <si>
    <t>' SHOW ALL FACEBOOK POP-UPS</t>
  </si>
  <si>
    <t>Sub ShowFacebookPopups()</t>
  </si>
  <si>
    <t xml:space="preserve">        If Trim(wsRS.Cells(r, 2).Value) = "" Then Exit For</t>
  </si>
  <si>
    <t xml:space="preserve">        If InStr(LCase(wsRS.Cells(r, 2).Value), "facebook") &gt; 0 Then</t>
  </si>
  <si>
    <t xml:space="preserve">            Call ShowFacebookPopup(wsRS.Cells(r, 1).Value, wsRS.Cells(r, 4).Value)</t>
  </si>
  <si>
    <t>' BUILD MESSAGE — Unchanged from original</t>
  </si>
  <si>
    <t>Function BuildMessage(msgType As String, parentName As String, _</t>
  </si>
  <si>
    <t xml:space="preserve">                      children As String, sessionDate As String, _</t>
  </si>
  <si>
    <t xml:space="preserve">                      amountDue As String) As String</t>
  </si>
  <si>
    <t xml:space="preserve">    Dim msg As String</t>
  </si>
  <si>
    <t xml:space="preserve">    Select Case msgType</t>
  </si>
  <si>
    <t xml:space="preserve">        Case "Session Confirmation"</t>
  </si>
  <si>
    <t xml:space="preserve">            msg = "Hi " &amp; parentName &amp; ", just confirming " &amp; children &amp; _</t>
  </si>
  <si>
    <t xml:space="preserve">                  "'s tutoring session on " &amp; sessionDate &amp; ". " &amp; _</t>
  </si>
  <si>
    <t xml:space="preserve">                  "Please let me know if anything changes. Looking forward to it!" &amp; Chr(10) &amp; _</t>
  </si>
  <si>
    <t xml:space="preserve">                  "— " &amp; YOUR_NAME</t>
  </si>
  <si>
    <t xml:space="preserve">        Case "Payment Reminder"</t>
  </si>
  <si>
    <t xml:space="preserve">            msg = "Hi " &amp; parentName &amp; ", just a friendly reminder that payment of " &amp; _</t>
  </si>
  <si>
    <t xml:space="preserve">                  amountDue &amp; " for " &amp; children &amp; "'s session on " &amp; sessionDate &amp; " is now due. " &amp; _</t>
  </si>
  <si>
    <t xml:space="preserve">                  "Please transfer to: BSB: " &amp; YOUR_BSB &amp; " | Acc: " &amp; YOUR_ACCOUNT &amp; _</t>
  </si>
  <si>
    <t xml:space="preserve">                  " | Ref: " &amp; parentName &amp; " Tutoring." &amp; Chr(10) &amp; _</t>
  </si>
  <si>
    <t xml:space="preserve">                  "Thanks so much!" &amp; Chr(10) &amp; _</t>
  </si>
  <si>
    <t xml:space="preserve">        Case "Overdue Payment Reminder"</t>
  </si>
  <si>
    <t xml:space="preserve">            msg = "Hi " &amp; parentName &amp; ", hope you're well! Just following up on the payment of " &amp; _</t>
  </si>
  <si>
    <t xml:space="preserve">                  amountDue &amp; " for " &amp; children &amp; "'s session on " &amp; sessionDate &amp; _</t>
  </si>
  <si>
    <t xml:space="preserve">                  " — it doesn't appear to have come through yet. No stress, please transfer when you get a chance: " &amp; _</t>
  </si>
  <si>
    <t xml:space="preserve">                  "BSB: " &amp; YOUR_BSB &amp; " | Acc: " &amp; YOUR_ACCOUNT &amp; "." &amp; Chr(10) &amp; _</t>
  </si>
  <si>
    <t xml:space="preserve">                  "Thanks!" &amp; Chr(10) &amp; _</t>
  </si>
  <si>
    <t xml:space="preserve">        Case Else</t>
  </si>
  <si>
    <t xml:space="preserve">            msg = "[Unknown message type selected]"</t>
  </si>
  <si>
    <t xml:space="preserve">    End Select</t>
  </si>
  <si>
    <t xml:space="preserve">    BuildMessage = msg</t>
  </si>
  <si>
    <t>Yes</t>
  </si>
  <si>
    <t>Session Confirmation</t>
  </si>
  <si>
    <t>Resolved</t>
  </si>
  <si>
    <t>Justin and Rachel</t>
  </si>
  <si>
    <t>Jodie</t>
  </si>
  <si>
    <t>Short Cut</t>
  </si>
  <si>
    <t>▶ RESOLVE ALL</t>
  </si>
  <si>
    <t>Ruby</t>
  </si>
  <si>
    <t>0437 649 607</t>
  </si>
  <si>
    <t>Andrew Morris</t>
  </si>
  <si>
    <t>Alex</t>
  </si>
  <si>
    <t>0418 765 686</t>
  </si>
  <si>
    <t>Abby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</si>
</sst>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.00"/>
    <numFmt numFmtId="165" formatCode="dd/mm/yyyy"/>
    <numFmt numFmtId="166" formatCode="dd/mm/yyyy\ hh:mm"/>
  </numFmts>
  <fonts count="29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1F4E79"/>
      <name val="Arial"/>
      <family val="2"/>
    </font>
    <font>
      <i/>
      <sz val="10"/>
      <color rgb="FF000000"/>
      <name val="Arial"/>
      <family val="2"/>
    </font>
    <font>
      <b/>
      <sz val="12"/>
      <color rgb="FFFFFFFF"/>
      <name val="Arial"/>
      <family val="2"/>
    </font>
    <font>
      <b/>
      <sz val="10"/>
      <color rgb="FFC00000"/>
      <name val="Arial"/>
      <family val="2"/>
    </font>
    <font>
      <i/>
      <sz val="10"/>
      <color rgb="FF1F4E79"/>
      <name val="Arial"/>
      <family val="2"/>
    </font>
    <font>
      <b/>
      <sz val="11"/>
      <color rgb="FFFFFFFF"/>
      <name val="Arial"/>
      <family val="2"/>
    </font>
    <font>
      <i/>
      <sz val="10"/>
      <color rgb="FF7F7F7F"/>
      <name val="Arial"/>
      <family val="2"/>
    </font>
    <font>
      <i/>
      <sz val="10"/>
      <color rgb="FFBFBFBF"/>
      <name val="Arial"/>
      <family val="2"/>
    </font>
    <font>
      <b/>
      <sz val="14"/>
      <color rgb="FFFFFFFF"/>
      <name val="Arial"/>
      <family val="2"/>
    </font>
    <font>
      <sz val="10"/>
      <color rgb="FF7F7F7F"/>
      <name val="Arial"/>
      <family val="2"/>
    </font>
    <font>
      <sz val="10"/>
      <color rgb="FFC00000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b/>
      <sz val="13"/>
      <color rgb="FFFFFFFF"/>
      <name val="Arial"/>
      <family val="2"/>
    </font>
    <font>
      <sz val="10"/>
      <name val="Arial"/>
      <family val="2"/>
    </font>
    <font>
      <b/>
      <sz val="11"/>
      <color rgb="FFFF7F27"/>
      <name val="Arial"/>
      <family val="2"/>
    </font>
    <font>
      <sz val="9"/>
      <name val="Courier New"/>
      <family val="3"/>
    </font>
    <font>
      <b/>
      <sz val="11"/>
      <name val="Arial"/>
      <family val="2"/>
    </font>
    <font>
      <i/>
      <sz val="10"/>
      <name val="Arial"/>
      <family val="2"/>
    </font>
    <font>
      <b/>
      <sz val="10"/>
      <color rgb="FF1F4E79"/>
      <name val="Arial"/>
      <family val="2"/>
    </font>
    <font>
      <b/>
      <sz val="11"/>
      <color rgb="FF385723"/>
      <name val="Calibri"/>
      <family val="2"/>
    </font>
    <font>
      <b/>
      <sz val="10"/>
      <color rgb="FFFF0000"/>
      <name val="Arial"/>
      <family val="2"/>
    </font>
    <font>
      <sz val="11"/>
      <color rgb="FF969696"/>
      <name val="Calibri"/>
      <family val="2"/>
      <charset val="1"/>
    </font>
    <font>
      <sz val="10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2F7FC"/>
        <bgColor rgb="FFF5F5F5"/>
      </patternFill>
    </fill>
    <fill>
      <patternFill patternType="solid">
        <fgColor rgb="FFFFF2CC"/>
        <bgColor rgb="FFFCE4D6"/>
      </patternFill>
    </fill>
    <fill>
      <patternFill patternType="solid">
        <fgColor rgb="FFFFFFFF"/>
        <bgColor rgb="FFF2F7FC"/>
      </patternFill>
    </fill>
    <fill>
      <patternFill patternType="solid">
        <fgColor rgb="FFD6E4F0"/>
        <bgColor rgb="FFF5F5F5"/>
      </patternFill>
    </fill>
    <fill>
      <patternFill patternType="solid">
        <fgColor rgb="FF2E75B6"/>
        <bgColor rgb="FF0066CC"/>
      </patternFill>
    </fill>
    <fill>
      <patternFill patternType="solid">
        <fgColor rgb="FF375623"/>
        <bgColor rgb="FF333300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1F4E79"/>
      </patternFill>
    </fill>
    <fill>
      <patternFill patternType="solid">
        <fgColor rgb="FF375623"/>
      </patternFill>
    </fill>
    <fill>
      <patternFill patternType="solid">
        <fgColor rgb="FFD9E1F2"/>
      </patternFill>
    </fill>
    <fill>
      <patternFill patternType="solid">
        <fgColor rgb="FFC55A11"/>
      </patternFill>
    </fill>
    <fill>
      <patternFill patternType="solid">
        <fgColor rgb="FFFFF2CC"/>
      </patternFill>
    </fill>
    <fill>
      <patternFill patternType="solid">
        <fgColor rgb="FFFFF2CC"/>
        <bgColor rgb="FFF2F7FC"/>
      </patternFill>
    </fill>
    <fill>
      <patternFill patternType="solid">
        <fgColor rgb="FFC5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rgb="FFF2F7FC"/>
      </patternFill>
    </fill>
    <fill>
      <patternFill patternType="solid">
        <fgColor rgb="FFE2EFDA"/>
        <bgColor rgb="FFF5F5F5"/>
      </patternFill>
    </fill>
    <fill>
      <patternFill patternType="solid">
        <fgColor rgb="FFFFF2CC"/>
        <bgColor rgb="FFF5F5F5"/>
      </patternFill>
    </fill>
    <fill>
      <patternFill patternType="solid">
        <fgColor rgb="FFE2EFDA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rgb="FF2E75B6"/>
      </left>
      <right/>
      <top style="medium">
        <color rgb="FF2E75B6"/>
      </top>
      <bottom style="medium">
        <color rgb="FF2E75B6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164" fontId="5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164" fontId="3" fillId="3" borderId="1" xfId="0" applyNumberFormat="1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5" borderId="1" xfId="0" applyNumberFormat="1" applyFont="1" applyFill="1" applyBorder="1" applyAlignment="1">
      <alignment horizontal="center" vertical="center"/>
    </xf>
    <xf numFmtId="0" fontId="16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22" fillId="13" borderId="0" xfId="0" applyFont="1" applyFill="1"/>
    <xf numFmtId="0" fontId="19" fillId="0" borderId="0" xfId="0" applyFont="1" applyAlignment="1">
      <alignment wrapText="1"/>
    </xf>
    <xf numFmtId="0" fontId="20" fillId="15" borderId="0" xfId="0" applyFont="1" applyFill="1" applyAlignment="1">
      <alignment horizontal="left" vertical="center" wrapText="1"/>
    </xf>
    <xf numFmtId="0" fontId="21" fillId="0" borderId="0" xfId="0" applyFont="1"/>
    <xf numFmtId="166" fontId="3" fillId="5" borderId="1" xfId="0" applyNumberFormat="1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166" fontId="11" fillId="5" borderId="1" xfId="0" applyNumberFormat="1" applyFont="1" applyFill="1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 wrapText="1"/>
    </xf>
    <xf numFmtId="0" fontId="24" fillId="4" borderId="6" xfId="0" applyFont="1" applyFill="1" applyBorder="1" applyAlignment="1">
      <alignment horizontal="center" vertical="center"/>
    </xf>
    <xf numFmtId="166" fontId="3" fillId="3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left" vertical="center" wrapText="1"/>
    </xf>
    <xf numFmtId="166" fontId="0" fillId="0" borderId="0" xfId="0" applyNumberFormat="1"/>
    <xf numFmtId="0" fontId="25" fillId="17" borderId="0" xfId="0" applyFont="1" applyFill="1" applyAlignment="1">
      <alignment horizontal="center" vertical="center"/>
    </xf>
    <xf numFmtId="22" fontId="0" fillId="18" borderId="0" xfId="0" applyNumberFormat="1" applyFill="1"/>
    <xf numFmtId="0" fontId="3" fillId="19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left" vertical="center" wrapText="1"/>
    </xf>
    <xf numFmtId="166" fontId="11" fillId="3" borderId="1" xfId="0" applyNumberFormat="1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left" vertical="center" wrapText="1"/>
    </xf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left" vertical="center" wrapText="1"/>
    </xf>
    <xf numFmtId="14" fontId="0" fillId="0" borderId="0" xfId="0" applyNumberFormat="1"/>
    <xf numFmtId="0" fontId="2" fillId="11" borderId="0" xfId="0" applyFont="1" applyFill="1" applyAlignment="1">
      <alignment horizontal="center" vertical="center" wrapText="1"/>
    </xf>
    <xf numFmtId="165" fontId="26" fillId="3" borderId="1" xfId="0" applyNumberFormat="1" applyFont="1" applyFill="1" applyBorder="1" applyAlignment="1">
      <alignment horizontal="center" vertical="center"/>
    </xf>
    <xf numFmtId="165" fontId="26" fillId="5" borderId="1" xfId="0" applyNumberFormat="1" applyFont="1" applyFill="1" applyBorder="1" applyAlignment="1">
      <alignment horizontal="center" vertical="center"/>
    </xf>
    <xf numFmtId="22" fontId="27" fillId="18" borderId="0" xfId="0" applyNumberFormat="1" applyFont="1" applyFill="1"/>
    <xf numFmtId="0" fontId="0" fillId="22" borderId="0" xfId="0" applyFill="1"/>
    <xf numFmtId="0" fontId="28" fillId="22" borderId="0" xfId="0" applyFont="1" applyFill="1" applyAlignment="1">
      <alignment wrapText="1"/>
    </xf>
    <xf numFmtId="14" fontId="3" fillId="3" borderId="1" xfId="0" applyNumberFormat="1" applyFont="1" applyFill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14" fontId="27" fillId="18" borderId="0" xfId="0" applyNumberFormat="1" applyFont="1" applyFill="1"/>
    <xf numFmtId="14" fontId="0" fillId="18" borderId="0" xfId="0" applyNumberFormat="1" applyFill="1"/>
    <xf numFmtId="0" fontId="27" fillId="18" borderId="0" xfId="0" applyFont="1" applyFill="1"/>
    <xf numFmtId="0" fontId="0" fillId="18" borderId="0" xfId="0" applyFill="1"/>
    <xf numFmtId="0" fontId="7" fillId="2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0" fillId="0" borderId="4" xfId="0" applyBorder="1"/>
    <xf numFmtId="0" fontId="2" fillId="7" borderId="2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0" fillId="0" borderId="5" xfId="0" applyBorder="1"/>
    <xf numFmtId="0" fontId="13" fillId="2" borderId="0" xfId="0" applyFont="1" applyFill="1" applyAlignment="1">
      <alignment horizontal="left" vertical="center" wrapText="1"/>
    </xf>
    <xf numFmtId="0" fontId="3" fillId="5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left" vertical="center" wrapText="1"/>
    </xf>
    <xf numFmtId="0" fontId="15" fillId="3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10" fillId="9" borderId="0" xfId="0" applyFont="1" applyFill="1" applyAlignment="1">
      <alignment horizontal="left" vertical="center" wrapText="1"/>
    </xf>
    <xf numFmtId="0" fontId="18" fillId="14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numFmt numFmtId="0" formatCode="General"/>
      <fill>
        <patternFill patternType="solid">
          <fgColor indexed="64"/>
          <bgColor rgb="FFD9D9D9"/>
        </patternFill>
      </fill>
    </dxf>
    <dxf>
      <numFmt numFmtId="0" formatCode="General"/>
      <fill>
        <patternFill patternType="solid">
          <fgColor indexed="64"/>
          <bgColor rgb="FFD9D9D9"/>
        </patternFill>
      </fill>
    </dxf>
    <dxf>
      <numFmt numFmtId="27" formatCode="d/mm/yyyy\ h:mm"/>
      <fill>
        <patternFill patternType="solid">
          <fgColor indexed="64"/>
          <bgColor rgb="FFD9D9D9"/>
        </patternFill>
      </fill>
    </dxf>
    <dxf>
      <numFmt numFmtId="0" formatCode="General"/>
      <fill>
        <patternFill patternType="solid">
          <fgColor indexed="64"/>
          <bgColor rgb="FFD9D9D9"/>
        </patternFill>
      </fill>
    </dxf>
    <dxf>
      <numFmt numFmtId="0" formatCode="General"/>
      <fill>
        <patternFill patternType="solid">
          <fgColor indexed="64"/>
          <bgColor rgb="FFD9D9D9"/>
        </patternFill>
      </fill>
    </dxf>
    <dxf>
      <numFmt numFmtId="0" formatCode="General"/>
      <fill>
        <patternFill patternType="solid">
          <fgColor indexed="64"/>
          <bgColor rgb="FFD9D9D9"/>
        </patternFill>
      </fill>
    </dxf>
    <dxf>
      <numFmt numFmtId="0" formatCode="General"/>
      <fill>
        <patternFill patternType="solid">
          <fgColor indexed="64"/>
          <bgColor rgb="FFD9D9D9"/>
        </patternFill>
      </fill>
    </dxf>
    <dxf>
      <numFmt numFmtId="0" formatCode="General"/>
      <fill>
        <patternFill patternType="solid">
          <fgColor indexed="64"/>
          <bgColor rgb="FFD9D9D9"/>
        </patternFill>
      </fill>
    </dxf>
    <dxf>
      <numFmt numFmtId="19" formatCode="d/mm/yyyy"/>
      <fill>
        <patternFill patternType="solid">
          <fgColor indexed="64"/>
          <bgColor rgb="FFD9D9D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F2F7FC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5F5F5"/>
      <rgbColor rgb="FFCCFFCC"/>
      <rgbColor rgb="FFFFFF99"/>
      <rgbColor rgb="FF99CCFF"/>
      <rgbColor rgb="FFFF99CC"/>
      <rgbColor rgb="FFCC99FF"/>
      <rgbColor rgb="FFFCE4D6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7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0FE22A2-5B85-4A21-BEE7-032A4C6764EF}" autoFormatId="16" applyNumberFormats="0" applyBorderFormats="0" applyFontFormats="0" applyPatternFormats="0" applyAlignmentFormats="0" applyWidthHeightFormats="0">
  <queryTableRefresh nextId="10">
    <queryTableFields count="9">
      <queryTableField id="1" name="Session Date" tableColumnId="1"/>
      <queryTableField id="2" name="Parent Name" tableColumnId="2"/>
      <queryTableField id="3" name="Child(ren)" tableColumnId="3"/>
      <queryTableField id="4" name="Contact Method" tableColumnId="4"/>
      <queryTableField id="5" name="Phone Number" tableColumnId="5"/>
      <queryTableField id="6" name="Rate ($/session)" tableColumnId="6"/>
      <queryTableField id="7" name="Payment Due By" tableColumnId="7"/>
      <queryTableField id="8" name="Paid?" tableColumnId="8"/>
      <queryTableField id="9" name="Note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093860-BA63-432F-9622-69BEB0A4BF9D}" name="Session_Log3" displayName="Session_Log3" ref="A1:I25" tableType="queryTable" totalsRowShown="0">
  <autoFilter ref="A1:I25" xr:uid="{91093860-BA63-432F-9622-69BEB0A4BF9D}"/>
  <tableColumns count="9">
    <tableColumn id="1" xr3:uid="{5A9F3E55-3A97-46B9-81FE-D182D345A85E}" uniqueName="1" name="Session Date" queryTableFieldId="1" dataDxfId="8"/>
    <tableColumn id="2" xr3:uid="{7A89B197-32A1-4E75-8011-CC2321D51827}" uniqueName="2" name="Parent Name" queryTableFieldId="2" dataDxfId="7"/>
    <tableColumn id="3" xr3:uid="{276F9107-BAC3-4D36-839B-FED178391A3E}" uniqueName="3" name="Child(ren)" queryTableFieldId="3" dataDxfId="6"/>
    <tableColumn id="4" xr3:uid="{9EFAFA3A-6650-4500-92C9-40737BA21849}" uniqueName="4" name="Contact Method" queryTableFieldId="4" dataDxfId="5"/>
    <tableColumn id="5" xr3:uid="{8E4A662D-6F3C-42AD-9243-C70144287939}" uniqueName="5" name="Phone Number" queryTableFieldId="5" dataDxfId="4"/>
    <tableColumn id="6" xr3:uid="{A68A5E85-D707-4C7C-885E-1EB93EE9AD71}" uniqueName="6" name="Rate ($/session)" queryTableFieldId="6" dataDxfId="3"/>
    <tableColumn id="7" xr3:uid="{9132D4C6-FE46-431B-9962-571A0F115FFA}" uniqueName="7" name="Payment Due By" queryTableFieldId="7" dataDxfId="2"/>
    <tableColumn id="8" xr3:uid="{2FF152A7-A45B-4BBB-8584-29CEC44FFAF4}" uniqueName="8" name="Paid?" queryTableFieldId="8" dataDxfId="1"/>
    <tableColumn id="9" xr3:uid="{93A40ADC-160A-4265-A29F-897F9929D872}" uniqueName="9" name="Notes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23"/>
  <sheetViews>
    <sheetView zoomScale="78" zoomScaleNormal="100" workbookViewId="0">
      <pane ySplit="2" topLeftCell="A8" activePane="bottomLeft" state="frozen"/>
      <selection pane="bottomLeft" activeCell="C29" sqref="C29"/>
    </sheetView>
  </sheetViews>
  <sheetFormatPr defaultColWidth="8.6328125" defaultRowHeight="14.5" x14ac:dyDescent="0.35"/>
  <cols>
    <col min="1" max="1" width="5" customWidth="1"/>
    <col min="2" max="2" width="20" customWidth="1"/>
    <col min="3" max="3" width="26" customWidth="1"/>
    <col min="4" max="4" width="22" customWidth="1"/>
    <col min="5" max="5" width="18" customWidth="1"/>
    <col min="6" max="6" width="22" customWidth="1"/>
    <col min="7" max="8" width="17" customWidth="1"/>
    <col min="9" max="9" width="14" customWidth="1"/>
    <col min="10" max="10" width="10" customWidth="1"/>
    <col min="11" max="11" width="24" customWidth="1"/>
  </cols>
  <sheetData>
    <row r="1" spans="1:11" ht="31.5" customHeight="1" x14ac:dyDescent="0.35">
      <c r="A1" s="57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</row>
    <row r="2" spans="1:11" ht="27.75" customHeight="1" x14ac:dyDescent="0.3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</row>
    <row r="3" spans="1:11" ht="18" customHeight="1" x14ac:dyDescent="0.35">
      <c r="A3" s="2">
        <v>1</v>
      </c>
      <c r="B3" s="3" t="s">
        <v>12</v>
      </c>
      <c r="C3" s="4" t="s">
        <v>13</v>
      </c>
      <c r="D3" s="2" t="s">
        <v>14</v>
      </c>
      <c r="E3" s="2"/>
      <c r="F3" s="4"/>
      <c r="G3" s="5">
        <v>55</v>
      </c>
      <c r="H3" s="2" t="s">
        <v>15</v>
      </c>
      <c r="I3" s="2"/>
      <c r="J3" s="2" t="s">
        <v>15</v>
      </c>
      <c r="K3" s="4"/>
    </row>
    <row r="4" spans="1:11" ht="18" customHeight="1" x14ac:dyDescent="0.35">
      <c r="A4" s="6">
        <v>2</v>
      </c>
      <c r="B4" s="7" t="s">
        <v>16</v>
      </c>
      <c r="C4" s="8" t="s">
        <v>17</v>
      </c>
      <c r="D4" s="6" t="s">
        <v>14</v>
      </c>
      <c r="E4" s="6"/>
      <c r="F4" s="8"/>
      <c r="G4" s="5">
        <v>70</v>
      </c>
      <c r="H4" s="6" t="s">
        <v>15</v>
      </c>
      <c r="I4" s="6"/>
      <c r="J4" s="6" t="s">
        <v>15</v>
      </c>
      <c r="K4" s="8"/>
    </row>
    <row r="5" spans="1:11" ht="18" customHeight="1" x14ac:dyDescent="0.35">
      <c r="A5" s="2">
        <v>3</v>
      </c>
      <c r="B5" s="3" t="s">
        <v>18</v>
      </c>
      <c r="C5" s="4" t="s">
        <v>19</v>
      </c>
      <c r="D5" s="2" t="s">
        <v>20</v>
      </c>
      <c r="E5" s="2" t="s">
        <v>21</v>
      </c>
      <c r="F5" s="4"/>
      <c r="G5" s="5">
        <v>60</v>
      </c>
      <c r="H5" s="2" t="s">
        <v>15</v>
      </c>
      <c r="I5" s="2"/>
      <c r="J5" s="2" t="s">
        <v>15</v>
      </c>
      <c r="K5" s="4"/>
    </row>
    <row r="6" spans="1:11" ht="18" customHeight="1" x14ac:dyDescent="0.35">
      <c r="A6" s="6">
        <v>4</v>
      </c>
      <c r="B6" s="7" t="s">
        <v>22</v>
      </c>
      <c r="C6" s="8" t="s">
        <v>23</v>
      </c>
      <c r="D6" s="6" t="s">
        <v>20</v>
      </c>
      <c r="E6" s="6" t="s">
        <v>24</v>
      </c>
      <c r="F6" s="8"/>
      <c r="G6" s="5">
        <v>70</v>
      </c>
      <c r="H6" s="6" t="s">
        <v>15</v>
      </c>
      <c r="I6" s="6"/>
      <c r="J6" s="6" t="s">
        <v>15</v>
      </c>
      <c r="K6" s="8"/>
    </row>
    <row r="7" spans="1:11" ht="18" customHeight="1" x14ac:dyDescent="0.35">
      <c r="A7" s="2">
        <v>5</v>
      </c>
      <c r="B7" s="3" t="s">
        <v>25</v>
      </c>
      <c r="C7" s="4" t="s">
        <v>26</v>
      </c>
      <c r="D7" s="2" t="s">
        <v>20</v>
      </c>
      <c r="E7" s="2" t="s">
        <v>27</v>
      </c>
      <c r="F7" s="4"/>
      <c r="G7" s="5">
        <v>70</v>
      </c>
      <c r="H7" s="2" t="s">
        <v>15</v>
      </c>
      <c r="I7" s="2"/>
      <c r="J7" s="2" t="s">
        <v>15</v>
      </c>
      <c r="K7" s="4"/>
    </row>
    <row r="8" spans="1:11" ht="18" customHeight="1" x14ac:dyDescent="0.35">
      <c r="A8" s="6">
        <v>6</v>
      </c>
      <c r="B8" s="7" t="s">
        <v>28</v>
      </c>
      <c r="C8" s="8" t="s">
        <v>482</v>
      </c>
      <c r="D8" s="6" t="s">
        <v>20</v>
      </c>
      <c r="E8" s="6" t="s">
        <v>30</v>
      </c>
      <c r="F8" s="8"/>
      <c r="G8" s="5">
        <v>70</v>
      </c>
      <c r="H8" s="6" t="s">
        <v>15</v>
      </c>
      <c r="I8" s="6"/>
      <c r="J8" s="6" t="s">
        <v>15</v>
      </c>
      <c r="K8" s="9" t="s">
        <v>31</v>
      </c>
    </row>
    <row r="9" spans="1:11" ht="18" customHeight="1" x14ac:dyDescent="0.35">
      <c r="A9" s="2">
        <v>7</v>
      </c>
      <c r="B9" s="3" t="s">
        <v>32</v>
      </c>
      <c r="C9" s="4" t="s">
        <v>33</v>
      </c>
      <c r="D9" s="2" t="s">
        <v>14</v>
      </c>
      <c r="E9" s="2"/>
      <c r="F9" s="4"/>
      <c r="G9" s="5">
        <v>120</v>
      </c>
      <c r="H9" s="2" t="s">
        <v>15</v>
      </c>
      <c r="I9" s="2"/>
      <c r="J9" s="2" t="s">
        <v>15</v>
      </c>
      <c r="K9" s="9" t="s">
        <v>34</v>
      </c>
    </row>
    <row r="10" spans="1:11" ht="18" customHeight="1" x14ac:dyDescent="0.35">
      <c r="A10" s="6">
        <v>8</v>
      </c>
      <c r="B10" s="7" t="s">
        <v>35</v>
      </c>
      <c r="C10" s="8" t="s">
        <v>36</v>
      </c>
      <c r="D10" s="6" t="s">
        <v>20</v>
      </c>
      <c r="E10" s="6" t="s">
        <v>37</v>
      </c>
      <c r="F10" s="8"/>
      <c r="G10" s="5">
        <v>70</v>
      </c>
      <c r="H10" s="6" t="s">
        <v>15</v>
      </c>
      <c r="I10" s="6"/>
      <c r="J10" s="6" t="s">
        <v>15</v>
      </c>
      <c r="K10" s="8"/>
    </row>
    <row r="11" spans="1:11" ht="18" customHeight="1" x14ac:dyDescent="0.35">
      <c r="A11" s="2">
        <v>9</v>
      </c>
      <c r="B11" s="3" t="s">
        <v>38</v>
      </c>
      <c r="C11" s="4" t="s">
        <v>39</v>
      </c>
      <c r="D11" s="2" t="s">
        <v>20</v>
      </c>
      <c r="E11" s="2" t="s">
        <v>40</v>
      </c>
      <c r="F11" s="4"/>
      <c r="G11" s="5">
        <v>70</v>
      </c>
      <c r="H11" s="2" t="s">
        <v>15</v>
      </c>
      <c r="I11" s="2"/>
      <c r="J11" s="2" t="s">
        <v>15</v>
      </c>
      <c r="K11" s="4"/>
    </row>
    <row r="12" spans="1:11" ht="18" customHeight="1" x14ac:dyDescent="0.35">
      <c r="A12" s="6">
        <v>10</v>
      </c>
      <c r="B12" s="7" t="s">
        <v>41</v>
      </c>
      <c r="C12" s="8" t="s">
        <v>42</v>
      </c>
      <c r="D12" s="6" t="s">
        <v>20</v>
      </c>
      <c r="E12" s="6" t="s">
        <v>43</v>
      </c>
      <c r="F12" s="8"/>
      <c r="G12" s="5">
        <v>120</v>
      </c>
      <c r="H12" s="6" t="s">
        <v>15</v>
      </c>
      <c r="I12" s="6"/>
      <c r="J12" s="6" t="s">
        <v>15</v>
      </c>
      <c r="K12" s="9" t="s">
        <v>34</v>
      </c>
    </row>
    <row r="13" spans="1:11" ht="18" customHeight="1" x14ac:dyDescent="0.35">
      <c r="A13" s="2">
        <v>11</v>
      </c>
      <c r="B13" s="3" t="s">
        <v>44</v>
      </c>
      <c r="C13" s="4" t="s">
        <v>17</v>
      </c>
      <c r="D13" s="2" t="s">
        <v>20</v>
      </c>
      <c r="E13" s="2" t="s">
        <v>45</v>
      </c>
      <c r="F13" s="4"/>
      <c r="G13" s="5">
        <v>70</v>
      </c>
      <c r="H13" s="2" t="s">
        <v>15</v>
      </c>
      <c r="I13" s="2"/>
      <c r="J13" s="2" t="s">
        <v>15</v>
      </c>
      <c r="K13" s="4"/>
    </row>
    <row r="14" spans="1:11" ht="18" customHeight="1" x14ac:dyDescent="0.35">
      <c r="A14" s="6">
        <v>12</v>
      </c>
      <c r="B14" s="7" t="s">
        <v>46</v>
      </c>
      <c r="C14" s="8" t="s">
        <v>47</v>
      </c>
      <c r="D14" s="6" t="s">
        <v>14</v>
      </c>
      <c r="E14" s="6"/>
      <c r="F14" s="8"/>
      <c r="G14" s="5">
        <v>130</v>
      </c>
      <c r="H14" s="6" t="s">
        <v>15</v>
      </c>
      <c r="I14" s="6"/>
      <c r="J14" s="6" t="s">
        <v>15</v>
      </c>
      <c r="K14" s="9" t="s">
        <v>34</v>
      </c>
    </row>
    <row r="15" spans="1:11" ht="18" customHeight="1" x14ac:dyDescent="0.35">
      <c r="A15" s="2">
        <v>13</v>
      </c>
      <c r="B15" s="3" t="s">
        <v>48</v>
      </c>
      <c r="C15" s="4" t="s">
        <v>49</v>
      </c>
      <c r="D15" s="2" t="s">
        <v>20</v>
      </c>
      <c r="E15" s="2" t="s">
        <v>50</v>
      </c>
      <c r="F15" s="4"/>
      <c r="G15" s="5">
        <v>70</v>
      </c>
      <c r="H15" s="2" t="s">
        <v>15</v>
      </c>
      <c r="I15" s="2"/>
      <c r="J15" s="2" t="s">
        <v>15</v>
      </c>
      <c r="K15" s="4"/>
    </row>
    <row r="16" spans="1:11" ht="18" customHeight="1" x14ac:dyDescent="0.35">
      <c r="A16" s="6">
        <v>14</v>
      </c>
      <c r="B16" s="7" t="s">
        <v>51</v>
      </c>
      <c r="C16" s="8" t="s">
        <v>52</v>
      </c>
      <c r="D16" s="6" t="s">
        <v>14</v>
      </c>
      <c r="E16" s="6"/>
      <c r="F16" s="8"/>
      <c r="G16" s="5">
        <v>50</v>
      </c>
      <c r="H16" s="6" t="s">
        <v>15</v>
      </c>
      <c r="I16" s="6"/>
      <c r="J16" s="6" t="s">
        <v>15</v>
      </c>
      <c r="K16" s="8"/>
    </row>
    <row r="17" spans="1:11" ht="18" customHeight="1" x14ac:dyDescent="0.35">
      <c r="A17" s="2">
        <v>15</v>
      </c>
      <c r="B17" s="3" t="s">
        <v>53</v>
      </c>
      <c r="C17" s="4" t="s">
        <v>54</v>
      </c>
      <c r="D17" s="2" t="s">
        <v>20</v>
      </c>
      <c r="E17" s="2" t="s">
        <v>55</v>
      </c>
      <c r="F17" s="4"/>
      <c r="G17" s="5">
        <v>130</v>
      </c>
      <c r="H17" s="2" t="s">
        <v>15</v>
      </c>
      <c r="I17" s="2"/>
      <c r="J17" s="2" t="s">
        <v>15</v>
      </c>
      <c r="K17" s="9" t="s">
        <v>34</v>
      </c>
    </row>
    <row r="18" spans="1:11" ht="18" customHeight="1" x14ac:dyDescent="0.35">
      <c r="A18" s="6">
        <v>16</v>
      </c>
      <c r="B18" s="7" t="s">
        <v>56</v>
      </c>
      <c r="C18" s="8" t="s">
        <v>57</v>
      </c>
      <c r="D18" s="6" t="s">
        <v>20</v>
      </c>
      <c r="E18" s="6" t="s">
        <v>58</v>
      </c>
      <c r="F18" s="8"/>
      <c r="G18" s="5">
        <v>70</v>
      </c>
      <c r="H18" s="6" t="s">
        <v>15</v>
      </c>
      <c r="I18" s="6"/>
      <c r="J18" s="6" t="s">
        <v>15</v>
      </c>
      <c r="K18" s="8"/>
    </row>
    <row r="19" spans="1:11" ht="18" customHeight="1" x14ac:dyDescent="0.35">
      <c r="A19" s="2">
        <v>17</v>
      </c>
      <c r="B19" s="3" t="s">
        <v>473</v>
      </c>
      <c r="C19" s="4" t="s">
        <v>60</v>
      </c>
      <c r="D19" s="2" t="s">
        <v>20</v>
      </c>
      <c r="E19" s="2" t="s">
        <v>61</v>
      </c>
      <c r="F19" s="4"/>
      <c r="G19" s="5">
        <v>60</v>
      </c>
      <c r="H19" s="2" t="s">
        <v>15</v>
      </c>
      <c r="I19" s="2"/>
      <c r="J19" s="2" t="s">
        <v>15</v>
      </c>
      <c r="K19" s="9" t="s">
        <v>62</v>
      </c>
    </row>
    <row r="20" spans="1:11" ht="18" customHeight="1" x14ac:dyDescent="0.35">
      <c r="A20" s="6">
        <v>18</v>
      </c>
      <c r="B20" s="7" t="s">
        <v>63</v>
      </c>
      <c r="C20" s="8" t="s">
        <v>64</v>
      </c>
      <c r="D20" s="6" t="s">
        <v>14</v>
      </c>
      <c r="E20" s="6"/>
      <c r="F20" s="8"/>
      <c r="G20" s="5">
        <v>70</v>
      </c>
      <c r="H20" s="6" t="s">
        <v>15</v>
      </c>
      <c r="I20" s="6"/>
      <c r="J20" s="6" t="s">
        <v>15</v>
      </c>
      <c r="K20" s="8"/>
    </row>
    <row r="21" spans="1:11" ht="18" customHeight="1" x14ac:dyDescent="0.35">
      <c r="A21" s="2">
        <v>19</v>
      </c>
      <c r="B21" s="3" t="s">
        <v>65</v>
      </c>
      <c r="C21" s="4" t="s">
        <v>66</v>
      </c>
      <c r="D21" s="2" t="s">
        <v>20</v>
      </c>
      <c r="E21" s="2" t="s">
        <v>67</v>
      </c>
      <c r="F21" s="4"/>
      <c r="G21" s="5">
        <v>70</v>
      </c>
      <c r="H21" s="2" t="s">
        <v>15</v>
      </c>
      <c r="I21" s="2"/>
      <c r="J21" s="2" t="s">
        <v>15</v>
      </c>
      <c r="K21" s="4"/>
    </row>
    <row r="22" spans="1:11" ht="19.5" customHeight="1" x14ac:dyDescent="0.35">
      <c r="A22" s="2">
        <v>20</v>
      </c>
      <c r="B22" s="3" t="s">
        <v>474</v>
      </c>
      <c r="C22" s="4" t="s">
        <v>477</v>
      </c>
      <c r="D22" s="2" t="s">
        <v>20</v>
      </c>
      <c r="E22" s="2" t="s">
        <v>478</v>
      </c>
      <c r="F22" s="4"/>
      <c r="G22" s="5">
        <v>60</v>
      </c>
      <c r="H22" s="2" t="s">
        <v>15</v>
      </c>
      <c r="I22" s="2"/>
      <c r="J22" s="2" t="s">
        <v>15</v>
      </c>
      <c r="K22" s="4"/>
    </row>
    <row r="23" spans="1:11" x14ac:dyDescent="0.35">
      <c r="A23" s="2">
        <v>21</v>
      </c>
      <c r="B23" s="3" t="s">
        <v>479</v>
      </c>
      <c r="C23" s="4" t="s">
        <v>480</v>
      </c>
      <c r="D23" s="2" t="s">
        <v>20</v>
      </c>
      <c r="E23" s="2" t="s">
        <v>481</v>
      </c>
      <c r="F23" s="4"/>
      <c r="G23" s="5">
        <v>70</v>
      </c>
      <c r="H23" s="2" t="s">
        <v>15</v>
      </c>
      <c r="I23" s="2"/>
      <c r="J23" s="2" t="s">
        <v>15</v>
      </c>
      <c r="K23" s="4"/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101"/>
  <sheetViews>
    <sheetView topLeftCell="A8" zoomScale="90" workbookViewId="0">
      <selection activeCell="K25" sqref="K25"/>
    </sheetView>
  </sheetViews>
  <sheetFormatPr defaultRowHeight="14.5" x14ac:dyDescent="0.35"/>
  <cols>
    <col min="1" max="1" width="14.26953125" bestFit="1" customWidth="1"/>
    <col min="2" max="2" width="15.6328125" bestFit="1" customWidth="1"/>
    <col min="3" max="3" width="11.81640625" bestFit="1" customWidth="1"/>
    <col min="4" max="4" width="17.36328125" bestFit="1" customWidth="1"/>
    <col min="5" max="5" width="16.36328125" bestFit="1" customWidth="1"/>
    <col min="6" max="6" width="17.1796875" bestFit="1" customWidth="1"/>
    <col min="7" max="7" width="17.453125" bestFit="1" customWidth="1"/>
    <col min="8" max="8" width="8.08984375" bestFit="1" customWidth="1"/>
    <col min="9" max="9" width="8.36328125" bestFit="1" customWidth="1"/>
    <col min="10" max="11" width="14" customWidth="1"/>
    <col min="12" max="12" width="14.36328125" bestFit="1" customWidth="1"/>
  </cols>
  <sheetData>
    <row r="1" spans="1:12" x14ac:dyDescent="0.35">
      <c r="A1" t="s">
        <v>68</v>
      </c>
      <c r="B1" t="s">
        <v>2</v>
      </c>
      <c r="C1" t="s">
        <v>3</v>
      </c>
      <c r="D1" t="s">
        <v>4</v>
      </c>
      <c r="E1" t="s">
        <v>5</v>
      </c>
      <c r="F1" t="s">
        <v>7</v>
      </c>
      <c r="G1" t="s">
        <v>69</v>
      </c>
      <c r="H1" t="s">
        <v>70</v>
      </c>
      <c r="I1" t="s">
        <v>11</v>
      </c>
      <c r="J1" s="17" t="s">
        <v>71</v>
      </c>
      <c r="K1" s="17" t="s">
        <v>72</v>
      </c>
      <c r="L1" s="43" t="s">
        <v>475</v>
      </c>
    </row>
    <row r="2" spans="1:12" x14ac:dyDescent="0.35">
      <c r="A2" s="51">
        <v>46134.666666666664</v>
      </c>
      <c r="B2" s="53" t="s">
        <v>18</v>
      </c>
      <c r="C2" s="53"/>
      <c r="D2" s="53"/>
      <c r="E2" s="53"/>
      <c r="F2" s="53"/>
      <c r="G2" s="46"/>
      <c r="H2" s="53"/>
      <c r="I2" s="53"/>
      <c r="J2" s="33" t="s">
        <v>472</v>
      </c>
      <c r="K2" s="19" t="s">
        <v>74</v>
      </c>
      <c r="L2" s="19" t="s">
        <v>476</v>
      </c>
    </row>
    <row r="3" spans="1:12" x14ac:dyDescent="0.35">
      <c r="A3" s="52">
        <v>46134.729166666664</v>
      </c>
      <c r="B3" s="54" t="s">
        <v>22</v>
      </c>
      <c r="C3" s="54"/>
      <c r="D3" s="54"/>
      <c r="E3" s="54"/>
      <c r="F3" s="54"/>
      <c r="G3" s="34"/>
      <c r="H3" s="54"/>
      <c r="I3" s="54"/>
      <c r="J3" s="33" t="s">
        <v>472</v>
      </c>
      <c r="K3" s="19" t="s">
        <v>74</v>
      </c>
    </row>
    <row r="4" spans="1:12" x14ac:dyDescent="0.35">
      <c r="A4" s="52">
        <v>46135.666666666664</v>
      </c>
      <c r="B4" s="54" t="s">
        <v>25</v>
      </c>
      <c r="C4" s="54"/>
      <c r="D4" s="54"/>
      <c r="E4" s="54"/>
      <c r="F4" s="54"/>
      <c r="G4" s="34"/>
      <c r="H4" s="54"/>
      <c r="I4" s="54"/>
      <c r="J4" s="33" t="s">
        <v>472</v>
      </c>
      <c r="K4" s="19" t="s">
        <v>74</v>
      </c>
    </row>
    <row r="5" spans="1:12" x14ac:dyDescent="0.35">
      <c r="A5" s="52">
        <v>46135.729166666664</v>
      </c>
      <c r="B5" s="54" t="s">
        <v>28</v>
      </c>
      <c r="C5" s="54"/>
      <c r="D5" s="54"/>
      <c r="E5" s="54"/>
      <c r="F5" s="54"/>
      <c r="G5" s="34"/>
      <c r="H5" s="54"/>
      <c r="I5" s="54"/>
      <c r="J5" s="33" t="s">
        <v>472</v>
      </c>
      <c r="K5" s="19" t="s">
        <v>74</v>
      </c>
    </row>
    <row r="6" spans="1:12" x14ac:dyDescent="0.35">
      <c r="A6" s="52">
        <v>46136.666666666664</v>
      </c>
      <c r="B6" s="54" t="s">
        <v>35</v>
      </c>
      <c r="C6" s="54"/>
      <c r="D6" s="54"/>
      <c r="E6" s="54"/>
      <c r="F6" s="54"/>
      <c r="G6" s="34"/>
      <c r="H6" s="54"/>
      <c r="I6" s="54"/>
      <c r="J6" s="33" t="s">
        <v>472</v>
      </c>
      <c r="K6" s="19" t="s">
        <v>74</v>
      </c>
    </row>
    <row r="7" spans="1:12" x14ac:dyDescent="0.35">
      <c r="A7" s="52">
        <v>46137.375</v>
      </c>
      <c r="B7" s="54" t="s">
        <v>41</v>
      </c>
      <c r="C7" s="54"/>
      <c r="D7" s="54"/>
      <c r="E7" s="54"/>
      <c r="F7" s="54"/>
      <c r="G7" s="34"/>
      <c r="H7" s="54"/>
      <c r="I7" s="54"/>
      <c r="J7" s="33" t="s">
        <v>472</v>
      </c>
      <c r="K7" s="19" t="s">
        <v>74</v>
      </c>
    </row>
    <row r="8" spans="1:12" x14ac:dyDescent="0.35">
      <c r="A8" s="52">
        <v>46136.729166666664</v>
      </c>
      <c r="B8" s="54" t="s">
        <v>32</v>
      </c>
      <c r="C8" s="54"/>
      <c r="D8" s="54"/>
      <c r="E8" s="54"/>
      <c r="F8" s="54"/>
      <c r="G8" s="34"/>
      <c r="H8" s="54"/>
      <c r="I8" s="54"/>
      <c r="J8" s="33" t="s">
        <v>472</v>
      </c>
      <c r="K8" s="19" t="s">
        <v>74</v>
      </c>
    </row>
    <row r="9" spans="1:12" x14ac:dyDescent="0.35">
      <c r="A9" s="52">
        <v>46137.3125</v>
      </c>
      <c r="B9" s="54" t="s">
        <v>38</v>
      </c>
      <c r="C9" s="54"/>
      <c r="D9" s="54"/>
      <c r="E9" s="54"/>
      <c r="F9" s="54"/>
      <c r="G9" s="34"/>
      <c r="H9" s="54"/>
      <c r="I9" s="54"/>
      <c r="J9" s="33" t="s">
        <v>472</v>
      </c>
      <c r="K9" s="19" t="s">
        <v>74</v>
      </c>
    </row>
    <row r="10" spans="1:12" x14ac:dyDescent="0.35">
      <c r="A10" s="52">
        <v>46137.5625</v>
      </c>
      <c r="B10" s="54" t="s">
        <v>48</v>
      </c>
      <c r="C10" s="54"/>
      <c r="D10" s="54"/>
      <c r="E10" s="54"/>
      <c r="F10" s="54"/>
      <c r="G10" s="34"/>
      <c r="H10" s="54"/>
      <c r="I10" s="54"/>
      <c r="J10" s="33" t="s">
        <v>472</v>
      </c>
      <c r="K10" s="19" t="s">
        <v>74</v>
      </c>
    </row>
    <row r="11" spans="1:12" x14ac:dyDescent="0.35">
      <c r="A11" s="52">
        <v>46137.472222222219</v>
      </c>
      <c r="B11" s="54" t="s">
        <v>46</v>
      </c>
      <c r="C11" s="54"/>
      <c r="D11" s="54"/>
      <c r="E11" s="54"/>
      <c r="F11" s="54"/>
      <c r="G11" s="34"/>
      <c r="H11" s="54"/>
      <c r="I11" s="54"/>
      <c r="J11" s="33" t="s">
        <v>472</v>
      </c>
      <c r="K11" s="19" t="s">
        <v>74</v>
      </c>
    </row>
    <row r="12" spans="1:12" x14ac:dyDescent="0.35">
      <c r="A12" s="52">
        <v>46137.611111111109</v>
      </c>
      <c r="B12" s="54" t="s">
        <v>44</v>
      </c>
      <c r="C12" s="54"/>
      <c r="D12" s="54"/>
      <c r="E12" s="54"/>
      <c r="F12" s="54"/>
      <c r="G12" s="34"/>
      <c r="H12" s="54"/>
      <c r="I12" s="54"/>
      <c r="J12" s="33" t="s">
        <v>472</v>
      </c>
      <c r="K12" s="19" t="s">
        <v>74</v>
      </c>
    </row>
    <row r="13" spans="1:12" x14ac:dyDescent="0.35">
      <c r="A13" s="52">
        <v>46138.375</v>
      </c>
      <c r="B13" s="54" t="s">
        <v>51</v>
      </c>
      <c r="C13" s="54"/>
      <c r="D13" s="54"/>
      <c r="E13" s="54"/>
      <c r="F13" s="54"/>
      <c r="G13" s="34"/>
      <c r="H13" s="54"/>
      <c r="I13" s="54"/>
      <c r="J13" s="33" t="s">
        <v>472</v>
      </c>
      <c r="K13" s="19" t="s">
        <v>74</v>
      </c>
    </row>
    <row r="14" spans="1:12" x14ac:dyDescent="0.35">
      <c r="A14" s="52">
        <v>46138.427083333336</v>
      </c>
      <c r="B14" s="54" t="s">
        <v>53</v>
      </c>
      <c r="C14" s="54"/>
      <c r="D14" s="54"/>
      <c r="E14" s="54"/>
      <c r="F14" s="54"/>
      <c r="G14" s="34"/>
      <c r="H14" s="54"/>
      <c r="I14" s="54"/>
      <c r="J14" s="33" t="s">
        <v>472</v>
      </c>
      <c r="K14" s="19" t="s">
        <v>74</v>
      </c>
    </row>
    <row r="15" spans="1:12" x14ac:dyDescent="0.35">
      <c r="A15" s="52">
        <v>46138.583333333336</v>
      </c>
      <c r="B15" s="54" t="s">
        <v>56</v>
      </c>
      <c r="C15" s="54"/>
      <c r="D15" s="54"/>
      <c r="E15" s="54"/>
      <c r="F15" s="54"/>
      <c r="G15" s="34"/>
      <c r="H15" s="54"/>
      <c r="I15" s="54"/>
      <c r="J15" s="33" t="s">
        <v>472</v>
      </c>
      <c r="K15" s="19" t="s">
        <v>74</v>
      </c>
    </row>
    <row r="16" spans="1:12" x14ac:dyDescent="0.35">
      <c r="A16" s="52">
        <v>46142.666666666664</v>
      </c>
      <c r="B16" s="54" t="s">
        <v>473</v>
      </c>
      <c r="C16" s="54"/>
      <c r="D16" s="54"/>
      <c r="E16" s="54"/>
      <c r="F16" s="54"/>
      <c r="G16" s="34"/>
      <c r="H16" s="54"/>
      <c r="I16" s="54"/>
      <c r="J16" s="33" t="s">
        <v>472</v>
      </c>
      <c r="K16" s="19" t="s">
        <v>74</v>
      </c>
    </row>
    <row r="17" spans="1:11" x14ac:dyDescent="0.35">
      <c r="A17" s="52">
        <v>46058.666666666664</v>
      </c>
      <c r="B17" s="54" t="s">
        <v>63</v>
      </c>
      <c r="C17" s="54"/>
      <c r="D17" s="54"/>
      <c r="E17" s="54"/>
      <c r="F17" s="54"/>
      <c r="G17" s="34"/>
      <c r="H17" s="54"/>
      <c r="I17" s="54"/>
      <c r="J17" s="33" t="s">
        <v>472</v>
      </c>
      <c r="K17" s="19" t="s">
        <v>74</v>
      </c>
    </row>
    <row r="18" spans="1:11" x14ac:dyDescent="0.35">
      <c r="A18" s="52">
        <v>46086.645833333336</v>
      </c>
      <c r="B18" s="54" t="s">
        <v>474</v>
      </c>
      <c r="C18" s="54"/>
      <c r="D18" s="54"/>
      <c r="E18" s="54"/>
      <c r="F18" s="54"/>
      <c r="G18" s="34"/>
      <c r="H18" s="54"/>
      <c r="I18" s="54"/>
      <c r="J18" s="33" t="s">
        <v>472</v>
      </c>
      <c r="K18" s="19" t="s">
        <v>74</v>
      </c>
    </row>
    <row r="19" spans="1:11" x14ac:dyDescent="0.35">
      <c r="A19" s="52">
        <v>46086.53125</v>
      </c>
      <c r="B19" s="54" t="s">
        <v>65</v>
      </c>
      <c r="C19" s="54"/>
      <c r="D19" s="54"/>
      <c r="E19" s="54"/>
      <c r="F19" s="54"/>
      <c r="G19" s="34"/>
      <c r="H19" s="54"/>
      <c r="I19" s="54"/>
      <c r="J19" s="33" t="s">
        <v>472</v>
      </c>
      <c r="K19" s="19" t="s">
        <v>74</v>
      </c>
    </row>
    <row r="20" spans="1:11" x14ac:dyDescent="0.35">
      <c r="A20" s="52">
        <v>46137.659722222219</v>
      </c>
      <c r="B20" s="54" t="s">
        <v>479</v>
      </c>
      <c r="C20" s="54"/>
      <c r="D20" s="54"/>
      <c r="E20" s="54"/>
      <c r="F20" s="54"/>
      <c r="G20" s="34"/>
      <c r="H20" s="54"/>
      <c r="I20" s="54"/>
      <c r="J20" s="33" t="s">
        <v>472</v>
      </c>
      <c r="K20" s="19" t="s">
        <v>74</v>
      </c>
    </row>
    <row r="21" spans="1:11" x14ac:dyDescent="0.35">
      <c r="A21" s="52">
        <v>46133.645833333336</v>
      </c>
      <c r="B21" s="54" t="s">
        <v>12</v>
      </c>
      <c r="C21" s="54"/>
      <c r="D21" s="54"/>
      <c r="E21" s="54"/>
      <c r="F21" s="54"/>
      <c r="G21" s="34"/>
      <c r="H21" s="54"/>
      <c r="I21" s="54"/>
      <c r="J21" s="33" t="s">
        <v>472</v>
      </c>
      <c r="K21" s="19" t="s">
        <v>74</v>
      </c>
    </row>
    <row r="22" spans="1:11" x14ac:dyDescent="0.35">
      <c r="A22" s="52">
        <v>46133.708333333336</v>
      </c>
      <c r="B22" s="54" t="s">
        <v>16</v>
      </c>
      <c r="C22" s="54"/>
      <c r="D22" s="54"/>
      <c r="E22" s="54"/>
      <c r="F22" s="54"/>
      <c r="G22" s="34"/>
      <c r="H22" s="54"/>
      <c r="I22" s="54"/>
      <c r="J22" s="33" t="s">
        <v>472</v>
      </c>
      <c r="K22" s="19" t="s">
        <v>74</v>
      </c>
    </row>
    <row r="23" spans="1:11" x14ac:dyDescent="0.35">
      <c r="A23" s="52">
        <v>46137.65625</v>
      </c>
      <c r="B23" s="54" t="s">
        <v>479</v>
      </c>
      <c r="C23" s="54"/>
      <c r="D23" s="54"/>
      <c r="E23" s="54"/>
      <c r="F23" s="54"/>
      <c r="G23" s="34"/>
      <c r="H23" s="54"/>
      <c r="I23" s="54"/>
      <c r="J23" s="33" t="s">
        <v>472</v>
      </c>
      <c r="K23" s="19" t="s">
        <v>74</v>
      </c>
    </row>
    <row r="24" spans="1:11" x14ac:dyDescent="0.35">
      <c r="A24" s="52">
        <v>46138.625</v>
      </c>
      <c r="B24" s="54" t="s">
        <v>63</v>
      </c>
      <c r="C24" s="54"/>
      <c r="D24" s="54"/>
      <c r="E24" s="54"/>
      <c r="F24" s="54"/>
      <c r="G24" s="34"/>
      <c r="H24" s="54"/>
      <c r="I24" s="54"/>
      <c r="J24" s="33" t="s">
        <v>472</v>
      </c>
      <c r="K24" s="19" t="s">
        <v>74</v>
      </c>
    </row>
    <row r="25" spans="1:11" x14ac:dyDescent="0.35">
      <c r="A25" s="52">
        <v>46058.472222222219</v>
      </c>
      <c r="B25" s="54" t="s">
        <v>46</v>
      </c>
      <c r="C25" s="54"/>
      <c r="D25" s="54"/>
      <c r="E25" s="54"/>
      <c r="F25" s="54"/>
      <c r="G25" s="34"/>
      <c r="H25" s="54"/>
      <c r="I25" s="54"/>
      <c r="J25" s="33" t="s">
        <v>472</v>
      </c>
      <c r="K25" s="19" t="s">
        <v>74</v>
      </c>
    </row>
    <row r="26" spans="1:11" x14ac:dyDescent="0.35">
      <c r="J26" s="18" t="s">
        <v>73</v>
      </c>
      <c r="K26" s="19" t="s">
        <v>74</v>
      </c>
    </row>
    <row r="27" spans="1:11" x14ac:dyDescent="0.35">
      <c r="J27" s="18" t="s">
        <v>73</v>
      </c>
      <c r="K27" s="19" t="s">
        <v>74</v>
      </c>
    </row>
    <row r="28" spans="1:11" x14ac:dyDescent="0.35">
      <c r="J28" s="18" t="s">
        <v>73</v>
      </c>
      <c r="K28" s="19" t="s">
        <v>74</v>
      </c>
    </row>
    <row r="29" spans="1:11" x14ac:dyDescent="0.35">
      <c r="J29" s="18" t="s">
        <v>73</v>
      </c>
      <c r="K29" s="19" t="s">
        <v>74</v>
      </c>
    </row>
    <row r="30" spans="1:11" x14ac:dyDescent="0.35">
      <c r="J30" s="18" t="s">
        <v>73</v>
      </c>
      <c r="K30" s="19" t="s">
        <v>74</v>
      </c>
    </row>
    <row r="31" spans="1:11" x14ac:dyDescent="0.35">
      <c r="J31" s="18" t="s">
        <v>73</v>
      </c>
      <c r="K31" s="19" t="s">
        <v>74</v>
      </c>
    </row>
    <row r="32" spans="1:11" x14ac:dyDescent="0.35">
      <c r="J32" s="18" t="s">
        <v>73</v>
      </c>
      <c r="K32" s="19" t="s">
        <v>74</v>
      </c>
    </row>
    <row r="33" spans="10:11" x14ac:dyDescent="0.35">
      <c r="J33" s="18" t="s">
        <v>73</v>
      </c>
      <c r="K33" s="19" t="s">
        <v>74</v>
      </c>
    </row>
    <row r="34" spans="10:11" x14ac:dyDescent="0.35">
      <c r="J34" s="18" t="s">
        <v>73</v>
      </c>
      <c r="K34" s="19" t="s">
        <v>74</v>
      </c>
    </row>
    <row r="35" spans="10:11" x14ac:dyDescent="0.35">
      <c r="J35" s="18" t="s">
        <v>73</v>
      </c>
      <c r="K35" s="19" t="s">
        <v>74</v>
      </c>
    </row>
    <row r="36" spans="10:11" x14ac:dyDescent="0.35">
      <c r="J36" s="18" t="s">
        <v>73</v>
      </c>
      <c r="K36" s="19" t="s">
        <v>74</v>
      </c>
    </row>
    <row r="37" spans="10:11" x14ac:dyDescent="0.35">
      <c r="J37" s="18" t="s">
        <v>73</v>
      </c>
      <c r="K37" s="19" t="s">
        <v>74</v>
      </c>
    </row>
    <row r="38" spans="10:11" x14ac:dyDescent="0.35">
      <c r="J38" s="18" t="s">
        <v>73</v>
      </c>
      <c r="K38" s="19" t="s">
        <v>74</v>
      </c>
    </row>
    <row r="39" spans="10:11" x14ac:dyDescent="0.35">
      <c r="J39" s="18" t="s">
        <v>73</v>
      </c>
      <c r="K39" s="19" t="s">
        <v>74</v>
      </c>
    </row>
    <row r="40" spans="10:11" x14ac:dyDescent="0.35">
      <c r="J40" s="18" t="s">
        <v>73</v>
      </c>
      <c r="K40" s="19" t="s">
        <v>74</v>
      </c>
    </row>
    <row r="41" spans="10:11" x14ac:dyDescent="0.35">
      <c r="J41" s="18" t="s">
        <v>73</v>
      </c>
      <c r="K41" s="19" t="s">
        <v>74</v>
      </c>
    </row>
    <row r="42" spans="10:11" x14ac:dyDescent="0.35">
      <c r="J42" s="18" t="s">
        <v>73</v>
      </c>
      <c r="K42" s="19" t="s">
        <v>74</v>
      </c>
    </row>
    <row r="43" spans="10:11" x14ac:dyDescent="0.35">
      <c r="J43" s="18" t="s">
        <v>73</v>
      </c>
      <c r="K43" s="19" t="s">
        <v>74</v>
      </c>
    </row>
    <row r="44" spans="10:11" x14ac:dyDescent="0.35">
      <c r="J44" s="18" t="s">
        <v>73</v>
      </c>
      <c r="K44" s="19" t="s">
        <v>74</v>
      </c>
    </row>
    <row r="45" spans="10:11" x14ac:dyDescent="0.35">
      <c r="J45" s="18" t="s">
        <v>73</v>
      </c>
      <c r="K45" s="19" t="s">
        <v>74</v>
      </c>
    </row>
    <row r="46" spans="10:11" x14ac:dyDescent="0.35">
      <c r="J46" s="18" t="s">
        <v>73</v>
      </c>
      <c r="K46" s="19" t="s">
        <v>74</v>
      </c>
    </row>
    <row r="47" spans="10:11" x14ac:dyDescent="0.35">
      <c r="J47" s="18" t="s">
        <v>73</v>
      </c>
      <c r="K47" s="19" t="s">
        <v>74</v>
      </c>
    </row>
    <row r="48" spans="10:11" x14ac:dyDescent="0.35">
      <c r="J48" s="18" t="s">
        <v>73</v>
      </c>
      <c r="K48" s="19" t="s">
        <v>74</v>
      </c>
    </row>
    <row r="49" spans="10:11" x14ac:dyDescent="0.35">
      <c r="J49" s="18" t="s">
        <v>73</v>
      </c>
      <c r="K49" s="19" t="s">
        <v>74</v>
      </c>
    </row>
    <row r="50" spans="10:11" x14ac:dyDescent="0.35">
      <c r="J50" s="18" t="s">
        <v>73</v>
      </c>
      <c r="K50" s="19" t="s">
        <v>74</v>
      </c>
    </row>
    <row r="51" spans="10:11" x14ac:dyDescent="0.35">
      <c r="J51" s="18" t="s">
        <v>73</v>
      </c>
      <c r="K51" s="19" t="s">
        <v>74</v>
      </c>
    </row>
    <row r="52" spans="10:11" x14ac:dyDescent="0.35">
      <c r="J52" s="18" t="s">
        <v>73</v>
      </c>
      <c r="K52" s="19" t="s">
        <v>74</v>
      </c>
    </row>
    <row r="53" spans="10:11" x14ac:dyDescent="0.35">
      <c r="J53" s="18" t="s">
        <v>73</v>
      </c>
      <c r="K53" s="19" t="s">
        <v>74</v>
      </c>
    </row>
    <row r="54" spans="10:11" x14ac:dyDescent="0.35">
      <c r="J54" s="18" t="s">
        <v>73</v>
      </c>
      <c r="K54" s="19" t="s">
        <v>74</v>
      </c>
    </row>
    <row r="55" spans="10:11" x14ac:dyDescent="0.35">
      <c r="J55" s="18" t="s">
        <v>73</v>
      </c>
      <c r="K55" s="19" t="s">
        <v>74</v>
      </c>
    </row>
    <row r="56" spans="10:11" x14ac:dyDescent="0.35">
      <c r="J56" s="18" t="s">
        <v>73</v>
      </c>
      <c r="K56" s="19" t="s">
        <v>74</v>
      </c>
    </row>
    <row r="57" spans="10:11" x14ac:dyDescent="0.35">
      <c r="J57" s="18" t="s">
        <v>73</v>
      </c>
      <c r="K57" s="19" t="s">
        <v>74</v>
      </c>
    </row>
    <row r="58" spans="10:11" x14ac:dyDescent="0.35">
      <c r="J58" s="18" t="s">
        <v>73</v>
      </c>
      <c r="K58" s="19" t="s">
        <v>74</v>
      </c>
    </row>
    <row r="59" spans="10:11" x14ac:dyDescent="0.35">
      <c r="J59" s="18" t="s">
        <v>73</v>
      </c>
      <c r="K59" s="19" t="s">
        <v>74</v>
      </c>
    </row>
    <row r="60" spans="10:11" x14ac:dyDescent="0.35">
      <c r="J60" s="18" t="s">
        <v>73</v>
      </c>
      <c r="K60" s="19" t="s">
        <v>74</v>
      </c>
    </row>
    <row r="61" spans="10:11" x14ac:dyDescent="0.35">
      <c r="J61" s="18" t="s">
        <v>73</v>
      </c>
      <c r="K61" s="19" t="s">
        <v>74</v>
      </c>
    </row>
    <row r="62" spans="10:11" x14ac:dyDescent="0.35">
      <c r="J62" s="18" t="s">
        <v>73</v>
      </c>
      <c r="K62" s="19" t="s">
        <v>74</v>
      </c>
    </row>
    <row r="63" spans="10:11" x14ac:dyDescent="0.35">
      <c r="J63" s="18" t="s">
        <v>73</v>
      </c>
      <c r="K63" s="19" t="s">
        <v>74</v>
      </c>
    </row>
    <row r="64" spans="10:11" x14ac:dyDescent="0.35">
      <c r="J64" s="18" t="s">
        <v>73</v>
      </c>
      <c r="K64" s="19" t="s">
        <v>74</v>
      </c>
    </row>
    <row r="65" spans="10:11" x14ac:dyDescent="0.35">
      <c r="J65" s="18" t="s">
        <v>73</v>
      </c>
      <c r="K65" s="19" t="s">
        <v>74</v>
      </c>
    </row>
    <row r="66" spans="10:11" x14ac:dyDescent="0.35">
      <c r="J66" s="18" t="s">
        <v>73</v>
      </c>
      <c r="K66" s="19" t="s">
        <v>74</v>
      </c>
    </row>
    <row r="67" spans="10:11" x14ac:dyDescent="0.35">
      <c r="J67" s="18" t="s">
        <v>73</v>
      </c>
      <c r="K67" s="19" t="s">
        <v>74</v>
      </c>
    </row>
    <row r="68" spans="10:11" x14ac:dyDescent="0.35">
      <c r="J68" s="18" t="s">
        <v>73</v>
      </c>
      <c r="K68" s="19" t="s">
        <v>74</v>
      </c>
    </row>
    <row r="69" spans="10:11" x14ac:dyDescent="0.35">
      <c r="J69" s="18" t="s">
        <v>73</v>
      </c>
      <c r="K69" s="19" t="s">
        <v>74</v>
      </c>
    </row>
    <row r="70" spans="10:11" x14ac:dyDescent="0.35">
      <c r="J70" s="18" t="s">
        <v>73</v>
      </c>
      <c r="K70" s="19" t="s">
        <v>74</v>
      </c>
    </row>
    <row r="71" spans="10:11" x14ac:dyDescent="0.35">
      <c r="J71" s="18" t="s">
        <v>73</v>
      </c>
      <c r="K71" s="19" t="s">
        <v>74</v>
      </c>
    </row>
    <row r="72" spans="10:11" x14ac:dyDescent="0.35">
      <c r="J72" s="18" t="s">
        <v>73</v>
      </c>
      <c r="K72" s="19" t="s">
        <v>74</v>
      </c>
    </row>
    <row r="73" spans="10:11" x14ac:dyDescent="0.35">
      <c r="J73" s="18" t="s">
        <v>73</v>
      </c>
      <c r="K73" s="19" t="s">
        <v>74</v>
      </c>
    </row>
    <row r="74" spans="10:11" x14ac:dyDescent="0.35">
      <c r="J74" s="18" t="s">
        <v>73</v>
      </c>
      <c r="K74" s="19" t="s">
        <v>74</v>
      </c>
    </row>
    <row r="75" spans="10:11" x14ac:dyDescent="0.35">
      <c r="J75" s="18" t="s">
        <v>73</v>
      </c>
      <c r="K75" s="19" t="s">
        <v>74</v>
      </c>
    </row>
    <row r="76" spans="10:11" x14ac:dyDescent="0.35">
      <c r="J76" s="18" t="s">
        <v>73</v>
      </c>
      <c r="K76" s="19" t="s">
        <v>74</v>
      </c>
    </row>
    <row r="77" spans="10:11" x14ac:dyDescent="0.35">
      <c r="J77" s="18" t="s">
        <v>73</v>
      </c>
      <c r="K77" s="19" t="s">
        <v>74</v>
      </c>
    </row>
    <row r="78" spans="10:11" x14ac:dyDescent="0.35">
      <c r="J78" s="18" t="s">
        <v>73</v>
      </c>
      <c r="K78" s="19" t="s">
        <v>74</v>
      </c>
    </row>
    <row r="79" spans="10:11" x14ac:dyDescent="0.35">
      <c r="J79" s="18" t="s">
        <v>73</v>
      </c>
      <c r="K79" s="19" t="s">
        <v>74</v>
      </c>
    </row>
    <row r="80" spans="10:11" x14ac:dyDescent="0.35">
      <c r="J80" s="18" t="s">
        <v>73</v>
      </c>
      <c r="K80" s="19" t="s">
        <v>74</v>
      </c>
    </row>
    <row r="81" spans="10:11" x14ac:dyDescent="0.35">
      <c r="J81" s="18" t="s">
        <v>73</v>
      </c>
      <c r="K81" s="19" t="s">
        <v>74</v>
      </c>
    </row>
    <row r="82" spans="10:11" x14ac:dyDescent="0.35">
      <c r="J82" s="18" t="s">
        <v>73</v>
      </c>
      <c r="K82" s="19" t="s">
        <v>74</v>
      </c>
    </row>
    <row r="83" spans="10:11" x14ac:dyDescent="0.35">
      <c r="J83" s="18" t="s">
        <v>73</v>
      </c>
      <c r="K83" s="19" t="s">
        <v>74</v>
      </c>
    </row>
    <row r="84" spans="10:11" x14ac:dyDescent="0.35">
      <c r="J84" s="18" t="s">
        <v>73</v>
      </c>
      <c r="K84" s="19" t="s">
        <v>74</v>
      </c>
    </row>
    <row r="85" spans="10:11" x14ac:dyDescent="0.35">
      <c r="J85" s="18" t="s">
        <v>73</v>
      </c>
      <c r="K85" s="19" t="s">
        <v>74</v>
      </c>
    </row>
    <row r="86" spans="10:11" x14ac:dyDescent="0.35">
      <c r="J86" s="18" t="s">
        <v>73</v>
      </c>
      <c r="K86" s="19" t="s">
        <v>74</v>
      </c>
    </row>
    <row r="87" spans="10:11" x14ac:dyDescent="0.35">
      <c r="J87" s="18" t="s">
        <v>73</v>
      </c>
      <c r="K87" s="19" t="s">
        <v>74</v>
      </c>
    </row>
    <row r="88" spans="10:11" x14ac:dyDescent="0.35">
      <c r="J88" s="18" t="s">
        <v>73</v>
      </c>
      <c r="K88" s="19" t="s">
        <v>74</v>
      </c>
    </row>
    <row r="89" spans="10:11" x14ac:dyDescent="0.35">
      <c r="J89" s="18" t="s">
        <v>73</v>
      </c>
      <c r="K89" s="19" t="s">
        <v>74</v>
      </c>
    </row>
    <row r="90" spans="10:11" x14ac:dyDescent="0.35">
      <c r="J90" s="18" t="s">
        <v>73</v>
      </c>
      <c r="K90" s="19" t="s">
        <v>74</v>
      </c>
    </row>
    <row r="91" spans="10:11" x14ac:dyDescent="0.35">
      <c r="J91" s="18" t="s">
        <v>73</v>
      </c>
      <c r="K91" s="19" t="s">
        <v>74</v>
      </c>
    </row>
    <row r="92" spans="10:11" x14ac:dyDescent="0.35">
      <c r="J92" s="18" t="s">
        <v>73</v>
      </c>
      <c r="K92" s="19" t="s">
        <v>74</v>
      </c>
    </row>
    <row r="93" spans="10:11" x14ac:dyDescent="0.35">
      <c r="J93" s="18" t="s">
        <v>73</v>
      </c>
      <c r="K93" s="19" t="s">
        <v>74</v>
      </c>
    </row>
    <row r="94" spans="10:11" x14ac:dyDescent="0.35">
      <c r="J94" s="18" t="s">
        <v>73</v>
      </c>
      <c r="K94" s="19" t="s">
        <v>74</v>
      </c>
    </row>
    <row r="95" spans="10:11" x14ac:dyDescent="0.35">
      <c r="J95" s="18" t="s">
        <v>73</v>
      </c>
      <c r="K95" s="19" t="s">
        <v>74</v>
      </c>
    </row>
    <row r="96" spans="10:11" x14ac:dyDescent="0.35">
      <c r="J96" s="18" t="s">
        <v>73</v>
      </c>
      <c r="K96" s="19" t="s">
        <v>74</v>
      </c>
    </row>
    <row r="97" spans="10:11" x14ac:dyDescent="0.35">
      <c r="J97" s="18" t="s">
        <v>73</v>
      </c>
      <c r="K97" s="19" t="s">
        <v>74</v>
      </c>
    </row>
    <row r="98" spans="10:11" x14ac:dyDescent="0.35">
      <c r="J98" s="18" t="s">
        <v>73</v>
      </c>
      <c r="K98" s="19" t="s">
        <v>74</v>
      </c>
    </row>
    <row r="99" spans="10:11" x14ac:dyDescent="0.35">
      <c r="J99" s="18" t="s">
        <v>73</v>
      </c>
      <c r="K99" s="19" t="s">
        <v>74</v>
      </c>
    </row>
    <row r="100" spans="10:11" x14ac:dyDescent="0.35">
      <c r="J100" s="18" t="s">
        <v>73</v>
      </c>
      <c r="K100" s="19" t="s">
        <v>74</v>
      </c>
    </row>
    <row r="101" spans="10:11" x14ac:dyDescent="0.35">
      <c r="J101" s="18" t="s">
        <v>73</v>
      </c>
      <c r="K101" s="19" t="s">
        <v>74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6"/>
  <sheetViews>
    <sheetView tabSelected="1" zoomScale="77" zoomScaleNormal="100" workbookViewId="0">
      <pane ySplit="2" topLeftCell="A3" activePane="bottomLeft" state="frozen"/>
      <selection pane="bottomLeft" activeCell="F16" sqref="F16"/>
    </sheetView>
  </sheetViews>
  <sheetFormatPr defaultColWidth="8.6328125" defaultRowHeight="14.5" x14ac:dyDescent="0.35"/>
  <cols>
    <col min="1" max="1" width="18.90625" customWidth="1"/>
    <col min="2" max="2" width="20" customWidth="1"/>
    <col min="3" max="3" width="26" customWidth="1"/>
    <col min="4" max="4" width="22" customWidth="1"/>
    <col min="5" max="5" width="18" customWidth="1"/>
    <col min="6" max="6" width="17" customWidth="1"/>
    <col min="7" max="7" width="24.08984375" customWidth="1"/>
  </cols>
  <sheetData>
    <row r="1" spans="1:9" ht="30" customHeight="1" x14ac:dyDescent="0.35">
      <c r="A1" s="55" t="s">
        <v>75</v>
      </c>
      <c r="B1" s="56"/>
      <c r="C1" s="56"/>
      <c r="D1" s="56"/>
      <c r="E1" s="56"/>
      <c r="F1" s="56"/>
      <c r="G1" s="56"/>
    </row>
    <row r="2" spans="1:9" ht="27.75" customHeight="1" x14ac:dyDescent="0.35">
      <c r="A2" s="1" t="s">
        <v>68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7</v>
      </c>
      <c r="G2" s="1" t="s">
        <v>69</v>
      </c>
      <c r="H2" s="1" t="s">
        <v>10</v>
      </c>
      <c r="I2" s="1" t="s">
        <v>11</v>
      </c>
    </row>
    <row r="3" spans="1:9" x14ac:dyDescent="0.35">
      <c r="A3" s="29"/>
      <c r="B3" s="3"/>
      <c r="C3" s="4"/>
      <c r="D3" s="2"/>
      <c r="E3" s="2"/>
      <c r="F3" s="10"/>
      <c r="G3" s="44"/>
      <c r="H3" s="6" t="s">
        <v>15</v>
      </c>
      <c r="I3" s="4"/>
    </row>
    <row r="4" spans="1:9" x14ac:dyDescent="0.35">
      <c r="A4" s="29"/>
      <c r="B4" s="3"/>
      <c r="C4" s="4"/>
      <c r="D4" s="2"/>
      <c r="E4" s="2"/>
      <c r="F4" s="10"/>
      <c r="G4" s="44"/>
      <c r="H4" s="2" t="s">
        <v>15</v>
      </c>
      <c r="I4" s="4"/>
    </row>
    <row r="5" spans="1:9" x14ac:dyDescent="0.35">
      <c r="A5" s="24"/>
      <c r="B5" s="7"/>
      <c r="C5" s="8"/>
      <c r="D5" s="6"/>
      <c r="E5" s="6"/>
      <c r="F5" s="11"/>
      <c r="G5" s="45"/>
      <c r="H5" s="6" t="s">
        <v>15</v>
      </c>
      <c r="I5" s="8"/>
    </row>
    <row r="6" spans="1:9" x14ac:dyDescent="0.35">
      <c r="A6" s="29"/>
      <c r="B6" s="3"/>
      <c r="C6" s="4"/>
      <c r="D6" s="2"/>
      <c r="E6" s="2"/>
      <c r="F6" s="10"/>
      <c r="G6" s="44"/>
      <c r="H6" s="2" t="s">
        <v>15</v>
      </c>
      <c r="I6" s="4"/>
    </row>
    <row r="7" spans="1:9" x14ac:dyDescent="0.35">
      <c r="A7" s="24"/>
      <c r="B7" s="7"/>
      <c r="C7" s="8"/>
      <c r="D7" s="6"/>
      <c r="E7" s="6"/>
      <c r="F7" s="11"/>
      <c r="G7" s="45"/>
      <c r="H7" s="6" t="s">
        <v>15</v>
      </c>
      <c r="I7" s="8"/>
    </row>
    <row r="8" spans="1:9" x14ac:dyDescent="0.35">
      <c r="A8" s="29"/>
      <c r="B8" s="3"/>
      <c r="C8" s="4"/>
      <c r="D8" s="2"/>
      <c r="E8" s="2"/>
      <c r="F8" s="10"/>
      <c r="G8" s="44"/>
      <c r="H8" s="2" t="s">
        <v>15</v>
      </c>
      <c r="I8" s="4"/>
    </row>
    <row r="9" spans="1:9" x14ac:dyDescent="0.35">
      <c r="A9" s="29"/>
      <c r="B9" s="3"/>
      <c r="C9" s="4"/>
      <c r="D9" s="2"/>
      <c r="E9" s="2"/>
      <c r="F9" s="10"/>
      <c r="G9" s="44"/>
      <c r="H9" s="6" t="s">
        <v>15</v>
      </c>
      <c r="I9" s="4"/>
    </row>
    <row r="10" spans="1:9" x14ac:dyDescent="0.35">
      <c r="A10" s="24"/>
      <c r="B10" s="7"/>
      <c r="C10" s="8"/>
      <c r="D10" s="6"/>
      <c r="E10" s="6"/>
      <c r="F10" s="11"/>
      <c r="G10" s="45"/>
      <c r="H10" s="2" t="s">
        <v>15</v>
      </c>
      <c r="I10" s="8"/>
    </row>
    <row r="11" spans="1:9" x14ac:dyDescent="0.35">
      <c r="A11" s="29"/>
      <c r="B11" s="3"/>
      <c r="C11" s="4"/>
      <c r="D11" s="2"/>
      <c r="E11" s="2"/>
      <c r="F11" s="10"/>
      <c r="G11" s="44"/>
      <c r="H11" s="6" t="s">
        <v>15</v>
      </c>
      <c r="I11" s="4"/>
    </row>
    <row r="12" spans="1:9" x14ac:dyDescent="0.35">
      <c r="A12" s="24"/>
      <c r="B12" s="7"/>
      <c r="C12" s="8"/>
      <c r="D12" s="6"/>
      <c r="E12" s="6"/>
      <c r="F12" s="11"/>
      <c r="G12" s="45"/>
      <c r="H12" s="2" t="s">
        <v>15</v>
      </c>
      <c r="I12" s="8"/>
    </row>
    <row r="13" spans="1:9" x14ac:dyDescent="0.35">
      <c r="A13" s="29"/>
      <c r="B13" s="3"/>
      <c r="C13" s="4"/>
      <c r="D13" s="2"/>
      <c r="E13" s="2"/>
      <c r="F13" s="10"/>
      <c r="G13" s="44"/>
      <c r="H13" s="6" t="s">
        <v>15</v>
      </c>
      <c r="I13" s="4"/>
    </row>
    <row r="14" spans="1:9" x14ac:dyDescent="0.35">
      <c r="A14" s="29"/>
      <c r="B14" s="3"/>
      <c r="C14" s="4"/>
      <c r="D14" s="2"/>
      <c r="E14" s="2"/>
      <c r="F14" s="10"/>
      <c r="G14" s="44"/>
      <c r="H14" s="2" t="s">
        <v>15</v>
      </c>
      <c r="I14" s="4"/>
    </row>
    <row r="15" spans="1:9" x14ac:dyDescent="0.35">
      <c r="A15" s="24"/>
      <c r="B15" s="7"/>
      <c r="C15" s="8"/>
      <c r="D15" s="6"/>
      <c r="E15" s="6"/>
      <c r="F15" s="11"/>
      <c r="G15" s="45"/>
      <c r="H15" s="6" t="s">
        <v>15</v>
      </c>
      <c r="I15" s="8"/>
    </row>
    <row r="16" spans="1:9" x14ac:dyDescent="0.35">
      <c r="A16" s="29"/>
      <c r="B16" s="3"/>
      <c r="C16" s="4"/>
      <c r="D16" s="2"/>
      <c r="E16" s="2"/>
      <c r="F16" s="10"/>
      <c r="G16" s="44"/>
      <c r="H16" s="2" t="s">
        <v>15</v>
      </c>
      <c r="I16" s="4"/>
    </row>
    <row r="17" spans="1:9" x14ac:dyDescent="0.35">
      <c r="A17" s="24"/>
      <c r="B17" s="7"/>
      <c r="C17" s="8"/>
      <c r="D17" s="6"/>
      <c r="E17" s="6"/>
      <c r="F17" s="11"/>
      <c r="G17" s="45"/>
      <c r="H17" s="2" t="s">
        <v>15</v>
      </c>
      <c r="I17" s="8"/>
    </row>
    <row r="18" spans="1:9" x14ac:dyDescent="0.35">
      <c r="A18" s="29"/>
      <c r="B18" s="3"/>
      <c r="C18" s="4"/>
      <c r="D18" s="2"/>
      <c r="E18" s="2"/>
      <c r="F18" s="10"/>
      <c r="G18" s="44"/>
      <c r="H18" s="6" t="s">
        <v>15</v>
      </c>
      <c r="I18" s="4"/>
    </row>
    <row r="19" spans="1:9" x14ac:dyDescent="0.35">
      <c r="A19" s="29"/>
      <c r="B19" s="3"/>
      <c r="C19" s="4"/>
      <c r="D19" s="2"/>
      <c r="E19" s="2"/>
      <c r="F19" s="10"/>
      <c r="G19" s="44"/>
      <c r="H19" s="2" t="s">
        <v>15</v>
      </c>
      <c r="I19" s="4"/>
    </row>
    <row r="20" spans="1:9" x14ac:dyDescent="0.35">
      <c r="A20" s="24"/>
      <c r="B20" s="7"/>
      <c r="C20" s="8"/>
      <c r="D20" s="6"/>
      <c r="E20" s="6"/>
      <c r="F20" s="11"/>
      <c r="G20" s="45"/>
      <c r="H20" s="6" t="s">
        <v>15</v>
      </c>
      <c r="I20" s="8"/>
    </row>
    <row r="21" spans="1:9" x14ac:dyDescent="0.35">
      <c r="A21" s="29"/>
      <c r="B21" s="3"/>
      <c r="C21" s="4"/>
      <c r="D21" s="2"/>
      <c r="E21" s="2"/>
      <c r="F21" s="10"/>
      <c r="G21" s="44"/>
      <c r="H21" s="2" t="s">
        <v>15</v>
      </c>
      <c r="I21" s="4"/>
    </row>
    <row r="22" spans="1:9" x14ac:dyDescent="0.35">
      <c r="A22" s="24"/>
      <c r="B22" s="7"/>
      <c r="C22" s="8"/>
      <c r="D22" s="6"/>
      <c r="E22" s="6"/>
      <c r="F22" s="11"/>
      <c r="G22" s="45"/>
      <c r="H22" s="6" t="s">
        <v>15</v>
      </c>
      <c r="I22" s="8"/>
    </row>
    <row r="23" spans="1:9" x14ac:dyDescent="0.35">
      <c r="A23" s="29"/>
      <c r="B23" s="3"/>
      <c r="C23" s="4"/>
      <c r="D23" s="2"/>
      <c r="E23" s="2"/>
      <c r="F23" s="10"/>
      <c r="G23" s="44"/>
      <c r="H23" s="2" t="s">
        <v>15</v>
      </c>
      <c r="I23" s="4"/>
    </row>
    <row r="24" spans="1:9" x14ac:dyDescent="0.35">
      <c r="A24" s="29"/>
      <c r="B24" s="3"/>
      <c r="C24" s="4"/>
      <c r="D24" s="2"/>
      <c r="E24" s="2"/>
      <c r="F24" s="10"/>
      <c r="G24" s="44"/>
      <c r="H24" s="6" t="s">
        <v>15</v>
      </c>
      <c r="I24" s="4"/>
    </row>
    <row r="25" spans="1:9" x14ac:dyDescent="0.35">
      <c r="A25" s="24"/>
      <c r="B25" s="7"/>
      <c r="C25" s="8"/>
      <c r="D25" s="6"/>
      <c r="E25" s="6"/>
      <c r="F25" s="11"/>
      <c r="G25" s="45"/>
      <c r="H25" s="2" t="s">
        <v>15</v>
      </c>
      <c r="I25" s="8"/>
    </row>
    <row r="26" spans="1:9" x14ac:dyDescent="0.35">
      <c r="A26" s="29"/>
      <c r="B26" s="3"/>
      <c r="C26" s="4"/>
      <c r="D26" s="2"/>
      <c r="E26" s="2"/>
      <c r="F26" s="10"/>
      <c r="G26" s="44"/>
      <c r="H26" s="6" t="s">
        <v>15</v>
      </c>
      <c r="I26" s="4"/>
    </row>
    <row r="27" spans="1:9" x14ac:dyDescent="0.35">
      <c r="A27" s="24"/>
      <c r="B27" s="7"/>
      <c r="C27" s="8"/>
      <c r="D27" s="6"/>
      <c r="E27" s="6"/>
      <c r="F27" s="11"/>
      <c r="G27" s="45"/>
      <c r="H27" s="2" t="s">
        <v>15</v>
      </c>
      <c r="I27" s="8"/>
    </row>
    <row r="28" spans="1:9" x14ac:dyDescent="0.35">
      <c r="A28" s="29"/>
      <c r="B28" s="3"/>
      <c r="C28" s="4"/>
      <c r="D28" s="2"/>
      <c r="E28" s="2"/>
      <c r="F28" s="10"/>
      <c r="G28" s="44"/>
      <c r="H28" s="6" t="s">
        <v>15</v>
      </c>
      <c r="I28" s="4"/>
    </row>
    <row r="29" spans="1:9" x14ac:dyDescent="0.35">
      <c r="A29" s="29"/>
      <c r="B29" s="3"/>
      <c r="C29" s="4"/>
      <c r="D29" s="2"/>
      <c r="E29" s="2"/>
      <c r="F29" s="10"/>
      <c r="G29" s="44"/>
      <c r="H29" s="2" t="s">
        <v>15</v>
      </c>
      <c r="I29" s="4"/>
    </row>
    <row r="30" spans="1:9" x14ac:dyDescent="0.35">
      <c r="A30" s="24"/>
      <c r="B30" s="7"/>
      <c r="C30" s="8"/>
      <c r="D30" s="6"/>
      <c r="E30" s="6"/>
      <c r="F30" s="11"/>
      <c r="G30" s="45"/>
      <c r="H30" s="6" t="s">
        <v>15</v>
      </c>
      <c r="I30" s="8"/>
    </row>
    <row r="31" spans="1:9" x14ac:dyDescent="0.35">
      <c r="A31" s="29"/>
      <c r="B31" s="3"/>
      <c r="C31" s="4"/>
      <c r="D31" s="2"/>
      <c r="E31" s="2"/>
      <c r="F31" s="10"/>
      <c r="G31" s="44"/>
      <c r="H31" s="2" t="s">
        <v>15</v>
      </c>
      <c r="I31" s="4"/>
    </row>
    <row r="32" spans="1:9" x14ac:dyDescent="0.35">
      <c r="A32" s="24"/>
      <c r="B32" s="7"/>
      <c r="C32" s="8"/>
      <c r="D32" s="6"/>
      <c r="E32" s="6"/>
      <c r="F32" s="11"/>
      <c r="G32" s="45"/>
      <c r="H32" s="6" t="s">
        <v>15</v>
      </c>
      <c r="I32" s="8"/>
    </row>
    <row r="33" spans="1:9" x14ac:dyDescent="0.35">
      <c r="A33" s="29"/>
      <c r="B33" s="3"/>
      <c r="C33" s="4"/>
      <c r="D33" s="2"/>
      <c r="E33" s="2"/>
      <c r="F33" s="10"/>
      <c r="G33" s="44"/>
      <c r="H33" s="2" t="s">
        <v>15</v>
      </c>
      <c r="I33" s="4"/>
    </row>
    <row r="34" spans="1:9" x14ac:dyDescent="0.35">
      <c r="A34" s="29"/>
      <c r="B34" s="3"/>
      <c r="C34" s="4"/>
      <c r="D34" s="2"/>
      <c r="E34" s="2"/>
      <c r="F34" s="10"/>
      <c r="G34" s="44"/>
      <c r="H34" s="6" t="s">
        <v>15</v>
      </c>
      <c r="I34" s="4"/>
    </row>
    <row r="35" spans="1:9" x14ac:dyDescent="0.35">
      <c r="A35" s="24"/>
      <c r="B35" s="7"/>
      <c r="C35" s="8"/>
      <c r="D35" s="6"/>
      <c r="E35" s="6"/>
      <c r="F35" s="11"/>
      <c r="G35" s="45"/>
      <c r="H35" s="2" t="s">
        <v>15</v>
      </c>
      <c r="I35" s="8"/>
    </row>
    <row r="36" spans="1:9" x14ac:dyDescent="0.35">
      <c r="A36" s="29"/>
      <c r="B36" s="3"/>
      <c r="C36" s="4"/>
      <c r="D36" s="2"/>
      <c r="E36" s="2"/>
      <c r="F36" s="10"/>
      <c r="G36" s="44"/>
      <c r="H36" s="2" t="s">
        <v>15</v>
      </c>
      <c r="I36" s="4"/>
    </row>
    <row r="37" spans="1:9" x14ac:dyDescent="0.35">
      <c r="A37" s="24"/>
      <c r="B37" s="7"/>
      <c r="C37" s="8"/>
      <c r="D37" s="6"/>
      <c r="E37" s="6"/>
      <c r="F37" s="11"/>
      <c r="G37" s="45"/>
      <c r="H37" s="6" t="s">
        <v>15</v>
      </c>
      <c r="I37" s="8"/>
    </row>
    <row r="38" spans="1:9" x14ac:dyDescent="0.35">
      <c r="A38" s="29"/>
      <c r="B38" s="3"/>
      <c r="C38" s="4"/>
      <c r="D38" s="2"/>
      <c r="E38" s="2"/>
      <c r="F38" s="10"/>
      <c r="G38" s="44"/>
      <c r="H38" s="2" t="s">
        <v>15</v>
      </c>
      <c r="I38" s="4"/>
    </row>
    <row r="39" spans="1:9" x14ac:dyDescent="0.35">
      <c r="A39" s="29"/>
      <c r="B39" s="3"/>
      <c r="C39" s="4"/>
      <c r="D39" s="2"/>
      <c r="E39" s="2"/>
      <c r="F39" s="10"/>
      <c r="G39" s="44"/>
      <c r="H39" s="6" t="s">
        <v>15</v>
      </c>
      <c r="I39" s="4"/>
    </row>
    <row r="40" spans="1:9" x14ac:dyDescent="0.35">
      <c r="A40" s="24"/>
      <c r="B40" s="7"/>
      <c r="C40" s="8"/>
      <c r="D40" s="6"/>
      <c r="E40" s="6"/>
      <c r="F40" s="11"/>
      <c r="G40" s="45"/>
      <c r="H40" s="2" t="s">
        <v>15</v>
      </c>
      <c r="I40" s="8"/>
    </row>
    <row r="41" spans="1:9" x14ac:dyDescent="0.35">
      <c r="A41" s="29"/>
      <c r="B41" s="3"/>
      <c r="C41" s="4"/>
      <c r="D41" s="2"/>
      <c r="E41" s="2"/>
      <c r="F41" s="10"/>
      <c r="G41" s="44"/>
      <c r="H41" s="6" t="s">
        <v>15</v>
      </c>
      <c r="I41" s="4"/>
    </row>
    <row r="42" spans="1:9" x14ac:dyDescent="0.35">
      <c r="A42" s="24"/>
      <c r="B42" s="7"/>
      <c r="C42" s="8"/>
      <c r="D42" s="6"/>
      <c r="E42" s="6"/>
      <c r="F42" s="11"/>
      <c r="G42" s="45"/>
      <c r="H42" s="2" t="s">
        <v>15</v>
      </c>
      <c r="I42" s="8"/>
    </row>
    <row r="43" spans="1:9" x14ac:dyDescent="0.35">
      <c r="A43" s="29"/>
      <c r="B43" s="3"/>
      <c r="C43" s="4"/>
      <c r="D43" s="2"/>
      <c r="E43" s="2"/>
      <c r="F43" s="10"/>
      <c r="G43" s="44"/>
      <c r="H43" s="6" t="s">
        <v>15</v>
      </c>
      <c r="I43" s="4"/>
    </row>
    <row r="44" spans="1:9" x14ac:dyDescent="0.35">
      <c r="A44" s="29"/>
      <c r="B44" s="3"/>
      <c r="C44" s="4"/>
      <c r="D44" s="2"/>
      <c r="E44" s="2"/>
      <c r="F44" s="10"/>
      <c r="G44" s="44"/>
      <c r="H44" s="2" t="s">
        <v>15</v>
      </c>
      <c r="I44" s="4"/>
    </row>
    <row r="45" spans="1:9" x14ac:dyDescent="0.35">
      <c r="A45" s="24"/>
      <c r="B45" s="7"/>
      <c r="C45" s="8"/>
      <c r="D45" s="6"/>
      <c r="E45" s="6"/>
      <c r="F45" s="11"/>
      <c r="G45" s="45"/>
      <c r="H45" s="6" t="s">
        <v>15</v>
      </c>
      <c r="I45" s="8"/>
    </row>
    <row r="46" spans="1:9" x14ac:dyDescent="0.35">
      <c r="A46" s="29"/>
      <c r="B46" s="3"/>
      <c r="C46" s="4"/>
      <c r="D46" s="2"/>
      <c r="E46" s="2"/>
      <c r="F46" s="10"/>
      <c r="G46" s="44"/>
      <c r="H46" s="2" t="s">
        <v>15</v>
      </c>
      <c r="I46" s="4"/>
    </row>
    <row r="47" spans="1:9" x14ac:dyDescent="0.35">
      <c r="A47" s="24"/>
      <c r="B47" s="7"/>
      <c r="C47" s="8"/>
      <c r="D47" s="6"/>
      <c r="E47" s="6"/>
      <c r="F47" s="11"/>
      <c r="G47" s="45"/>
      <c r="H47" s="6" t="s">
        <v>15</v>
      </c>
      <c r="I47" s="8"/>
    </row>
    <row r="48" spans="1:9" x14ac:dyDescent="0.35">
      <c r="A48" s="29"/>
      <c r="B48" s="3"/>
      <c r="C48" s="4"/>
      <c r="D48" s="2"/>
      <c r="E48" s="2"/>
      <c r="F48" s="10"/>
      <c r="G48" s="44"/>
      <c r="H48" s="2" t="s">
        <v>15</v>
      </c>
      <c r="I48" s="4"/>
    </row>
    <row r="49" spans="1:9" x14ac:dyDescent="0.35">
      <c r="A49" s="29"/>
      <c r="B49" s="3"/>
      <c r="C49" s="4"/>
      <c r="D49" s="2"/>
      <c r="E49" s="2"/>
      <c r="F49" s="10"/>
      <c r="G49" s="44"/>
      <c r="H49" s="6" t="s">
        <v>15</v>
      </c>
      <c r="I49" s="4"/>
    </row>
    <row r="50" spans="1:9" x14ac:dyDescent="0.35">
      <c r="A50" s="24"/>
      <c r="B50" s="7"/>
      <c r="C50" s="8"/>
      <c r="D50" s="6"/>
      <c r="E50" s="6"/>
      <c r="F50" s="11"/>
      <c r="G50" s="45"/>
      <c r="H50" s="2" t="s">
        <v>15</v>
      </c>
      <c r="I50" s="8"/>
    </row>
    <row r="51" spans="1:9" x14ac:dyDescent="0.35">
      <c r="A51" s="29"/>
      <c r="B51" s="3"/>
      <c r="C51" s="4"/>
      <c r="D51" s="2"/>
      <c r="E51" s="2"/>
      <c r="F51" s="10"/>
      <c r="G51" s="44"/>
      <c r="H51" s="6" t="s">
        <v>15</v>
      </c>
      <c r="I51" s="4"/>
    </row>
    <row r="52" spans="1:9" x14ac:dyDescent="0.35">
      <c r="A52" s="24"/>
      <c r="B52" s="7"/>
      <c r="C52" s="8"/>
      <c r="D52" s="6"/>
      <c r="E52" s="6"/>
      <c r="F52" s="11"/>
      <c r="G52" s="45"/>
      <c r="H52" s="2" t="s">
        <v>15</v>
      </c>
      <c r="I52" s="8"/>
    </row>
    <row r="53" spans="1:9" x14ac:dyDescent="0.35">
      <c r="A53" s="29"/>
      <c r="B53" s="3"/>
      <c r="C53" s="4"/>
      <c r="D53" s="2"/>
      <c r="E53" s="2"/>
      <c r="F53" s="10"/>
      <c r="G53" s="44"/>
      <c r="H53" s="6" t="s">
        <v>15</v>
      </c>
      <c r="I53" s="4"/>
    </row>
    <row r="54" spans="1:9" x14ac:dyDescent="0.35">
      <c r="A54" s="29"/>
      <c r="B54" s="3"/>
      <c r="C54" s="4"/>
      <c r="D54" s="2"/>
      <c r="E54" s="2"/>
      <c r="F54" s="10"/>
      <c r="G54" s="44"/>
      <c r="H54" s="2" t="s">
        <v>15</v>
      </c>
      <c r="I54" s="4"/>
    </row>
    <row r="55" spans="1:9" x14ac:dyDescent="0.35">
      <c r="A55" s="24"/>
      <c r="B55" s="7"/>
      <c r="C55" s="8"/>
      <c r="D55" s="6"/>
      <c r="E55" s="6"/>
      <c r="F55" s="11"/>
      <c r="G55" s="45"/>
      <c r="H55" s="2" t="s">
        <v>15</v>
      </c>
      <c r="I55" s="8"/>
    </row>
    <row r="56" spans="1:9" x14ac:dyDescent="0.35">
      <c r="A56" s="29"/>
      <c r="B56" s="3"/>
      <c r="C56" s="4"/>
      <c r="D56" s="2"/>
      <c r="E56" s="2"/>
      <c r="F56" s="10"/>
      <c r="G56" s="44"/>
      <c r="H56" s="6" t="s">
        <v>15</v>
      </c>
      <c r="I56" s="4"/>
    </row>
    <row r="57" spans="1:9" x14ac:dyDescent="0.35">
      <c r="A57" s="24"/>
      <c r="B57" s="7"/>
      <c r="C57" s="8"/>
      <c r="D57" s="6"/>
      <c r="E57" s="6"/>
      <c r="F57" s="11"/>
      <c r="G57" s="45"/>
      <c r="H57" s="2" t="s">
        <v>15</v>
      </c>
      <c r="I57" s="8"/>
    </row>
    <row r="58" spans="1:9" x14ac:dyDescent="0.35">
      <c r="A58" s="29"/>
      <c r="B58" s="3"/>
      <c r="C58" s="4"/>
      <c r="D58" s="2"/>
      <c r="E58" s="2"/>
      <c r="F58" s="10"/>
      <c r="G58" s="44"/>
      <c r="H58" s="6" t="s">
        <v>15</v>
      </c>
      <c r="I58" s="4"/>
    </row>
    <row r="59" spans="1:9" x14ac:dyDescent="0.35">
      <c r="A59" s="29"/>
      <c r="B59" s="3"/>
      <c r="C59" s="4"/>
      <c r="D59" s="2"/>
      <c r="E59" s="2"/>
      <c r="F59" s="10"/>
      <c r="G59" s="44"/>
      <c r="H59" s="2" t="s">
        <v>15</v>
      </c>
      <c r="I59" s="4"/>
    </row>
    <row r="60" spans="1:9" x14ac:dyDescent="0.35">
      <c r="A60" s="24"/>
      <c r="B60" s="7"/>
      <c r="C60" s="8"/>
      <c r="D60" s="6"/>
      <c r="E60" s="6"/>
      <c r="F60" s="11"/>
      <c r="G60" s="45"/>
      <c r="H60" s="6" t="s">
        <v>15</v>
      </c>
      <c r="I60" s="8"/>
    </row>
    <row r="61" spans="1:9" x14ac:dyDescent="0.35">
      <c r="A61" s="29"/>
      <c r="B61" s="3"/>
      <c r="C61" s="4"/>
      <c r="D61" s="2"/>
      <c r="E61" s="2"/>
      <c r="F61" s="10"/>
      <c r="G61" s="44"/>
      <c r="H61" s="2" t="s">
        <v>15</v>
      </c>
      <c r="I61" s="4"/>
    </row>
    <row r="62" spans="1:9" x14ac:dyDescent="0.35">
      <c r="A62" s="24"/>
      <c r="B62" s="7"/>
      <c r="C62" s="8"/>
      <c r="D62" s="6"/>
      <c r="E62" s="6"/>
      <c r="F62" s="11"/>
      <c r="G62" s="45"/>
      <c r="H62" s="6" t="s">
        <v>15</v>
      </c>
      <c r="I62" s="8"/>
    </row>
    <row r="63" spans="1:9" x14ac:dyDescent="0.35">
      <c r="A63" s="29"/>
      <c r="B63" s="3"/>
      <c r="C63" s="4"/>
      <c r="D63" s="2"/>
      <c r="E63" s="2"/>
      <c r="F63" s="10"/>
      <c r="G63" s="44"/>
      <c r="H63" s="2" t="s">
        <v>15</v>
      </c>
      <c r="I63" s="4"/>
    </row>
    <row r="64" spans="1:9" x14ac:dyDescent="0.35">
      <c r="A64" s="29"/>
      <c r="B64" s="3"/>
      <c r="C64" s="4"/>
      <c r="D64" s="2"/>
      <c r="E64" s="2"/>
      <c r="F64" s="10"/>
      <c r="G64" s="44"/>
      <c r="H64" s="6" t="s">
        <v>15</v>
      </c>
      <c r="I64" s="4"/>
    </row>
    <row r="65" spans="1:9" x14ac:dyDescent="0.35">
      <c r="A65" s="24"/>
      <c r="B65" s="7"/>
      <c r="C65" s="8"/>
      <c r="D65" s="6"/>
      <c r="E65" s="6"/>
      <c r="F65" s="11"/>
      <c r="G65" s="45"/>
      <c r="H65" s="2" t="s">
        <v>15</v>
      </c>
      <c r="I65" s="8"/>
    </row>
    <row r="66" spans="1:9" x14ac:dyDescent="0.35">
      <c r="A66" s="29"/>
      <c r="B66" s="3"/>
      <c r="C66" s="4"/>
      <c r="D66" s="2"/>
      <c r="E66" s="2"/>
      <c r="F66" s="10"/>
      <c r="G66" s="44"/>
      <c r="H66" s="6" t="s">
        <v>15</v>
      </c>
      <c r="I66" s="4"/>
    </row>
    <row r="67" spans="1:9" x14ac:dyDescent="0.35">
      <c r="A67" s="24"/>
      <c r="B67" s="7"/>
      <c r="C67" s="8"/>
      <c r="D67" s="6"/>
      <c r="E67" s="6"/>
      <c r="F67" s="11"/>
      <c r="G67" s="45"/>
      <c r="H67" s="2" t="s">
        <v>15</v>
      </c>
      <c r="I67" s="8"/>
    </row>
    <row r="68" spans="1:9" x14ac:dyDescent="0.35">
      <c r="A68" s="29"/>
      <c r="B68" s="3"/>
      <c r="C68" s="4"/>
      <c r="D68" s="2"/>
      <c r="E68" s="2"/>
      <c r="F68" s="10"/>
      <c r="G68" s="44"/>
      <c r="H68" s="6" t="s">
        <v>15</v>
      </c>
      <c r="I68" s="4"/>
    </row>
    <row r="69" spans="1:9" x14ac:dyDescent="0.35">
      <c r="A69" s="29"/>
      <c r="B69" s="3"/>
      <c r="C69" s="4"/>
      <c r="D69" s="2"/>
      <c r="E69" s="2"/>
      <c r="F69" s="10"/>
      <c r="G69" s="44"/>
      <c r="H69" s="2" t="s">
        <v>15</v>
      </c>
      <c r="I69" s="4"/>
    </row>
    <row r="70" spans="1:9" x14ac:dyDescent="0.35">
      <c r="A70" s="24"/>
      <c r="B70" s="7"/>
      <c r="C70" s="8"/>
      <c r="D70" s="6"/>
      <c r="E70" s="6"/>
      <c r="F70" s="11"/>
      <c r="G70" s="45"/>
      <c r="H70" s="6" t="s">
        <v>15</v>
      </c>
      <c r="I70" s="8"/>
    </row>
    <row r="71" spans="1:9" x14ac:dyDescent="0.35">
      <c r="A71" s="29"/>
      <c r="B71" s="3"/>
      <c r="C71" s="4"/>
      <c r="D71" s="2"/>
      <c r="E71" s="2"/>
      <c r="F71" s="10"/>
      <c r="G71" s="44"/>
      <c r="H71" s="2" t="s">
        <v>15</v>
      </c>
      <c r="I71" s="4"/>
    </row>
    <row r="72" spans="1:9" x14ac:dyDescent="0.35">
      <c r="A72" s="24"/>
      <c r="B72" s="7"/>
      <c r="C72" s="8"/>
      <c r="D72" s="6"/>
      <c r="E72" s="6"/>
      <c r="F72" s="11"/>
      <c r="G72" s="45"/>
      <c r="H72" s="6" t="s">
        <v>15</v>
      </c>
      <c r="I72" s="8"/>
    </row>
    <row r="73" spans="1:9" x14ac:dyDescent="0.35">
      <c r="A73" s="29"/>
      <c r="B73" s="3"/>
      <c r="C73" s="4"/>
      <c r="D73" s="2"/>
      <c r="E73" s="2"/>
      <c r="F73" s="10"/>
      <c r="G73" s="44"/>
      <c r="H73" s="2" t="s">
        <v>15</v>
      </c>
      <c r="I73" s="4"/>
    </row>
    <row r="74" spans="1:9" x14ac:dyDescent="0.35">
      <c r="A74" s="29"/>
      <c r="B74" s="3"/>
      <c r="C74" s="4"/>
      <c r="D74" s="2"/>
      <c r="E74" s="2"/>
      <c r="F74" s="10"/>
      <c r="G74" s="44"/>
      <c r="H74" s="2" t="s">
        <v>15</v>
      </c>
      <c r="I74" s="4"/>
    </row>
    <row r="75" spans="1:9" x14ac:dyDescent="0.35">
      <c r="A75" s="24"/>
      <c r="B75" s="7"/>
      <c r="C75" s="8"/>
      <c r="D75" s="6"/>
      <c r="E75" s="6"/>
      <c r="F75" s="11"/>
      <c r="G75" s="45"/>
      <c r="H75" s="6" t="s">
        <v>15</v>
      </c>
      <c r="I75" s="8"/>
    </row>
    <row r="76" spans="1:9" x14ac:dyDescent="0.35">
      <c r="A76" s="29"/>
      <c r="B76" s="3"/>
      <c r="C76" s="4"/>
      <c r="D76" s="2"/>
      <c r="E76" s="2"/>
      <c r="F76" s="10"/>
      <c r="G76" s="44"/>
      <c r="H76" s="2" t="s">
        <v>15</v>
      </c>
      <c r="I76" s="4"/>
    </row>
    <row r="77" spans="1:9" x14ac:dyDescent="0.35">
      <c r="A77" s="24"/>
      <c r="B77" s="7"/>
      <c r="C77" s="8"/>
      <c r="D77" s="6"/>
      <c r="E77" s="6"/>
      <c r="F77" s="11"/>
      <c r="G77" s="45"/>
      <c r="H77" s="6" t="s">
        <v>15</v>
      </c>
      <c r="I77" s="8"/>
    </row>
    <row r="78" spans="1:9" x14ac:dyDescent="0.35">
      <c r="A78" s="29"/>
      <c r="B78" s="3"/>
      <c r="C78" s="4"/>
      <c r="D78" s="2"/>
      <c r="E78" s="2"/>
      <c r="F78" s="10"/>
      <c r="G78" s="44"/>
      <c r="H78" s="2" t="s">
        <v>15</v>
      </c>
      <c r="I78" s="4"/>
    </row>
    <row r="79" spans="1:9" x14ac:dyDescent="0.35">
      <c r="A79" s="29"/>
      <c r="B79" s="3"/>
      <c r="C79" s="4"/>
      <c r="D79" s="2"/>
      <c r="E79" s="2"/>
      <c r="F79" s="10"/>
      <c r="G79" s="44"/>
      <c r="H79" s="6" t="s">
        <v>15</v>
      </c>
      <c r="I79" s="4"/>
    </row>
    <row r="80" spans="1:9" x14ac:dyDescent="0.35">
      <c r="A80" s="24"/>
      <c r="B80" s="7"/>
      <c r="C80" s="8"/>
      <c r="D80" s="6"/>
      <c r="E80" s="6"/>
      <c r="F80" s="11"/>
      <c r="G80" s="45"/>
      <c r="H80" s="2" t="s">
        <v>15</v>
      </c>
      <c r="I80" s="8"/>
    </row>
    <row r="81" spans="1:9" x14ac:dyDescent="0.35">
      <c r="A81" s="29"/>
      <c r="B81" s="3"/>
      <c r="C81" s="4"/>
      <c r="D81" s="2"/>
      <c r="E81" s="2"/>
      <c r="F81" s="10"/>
      <c r="G81" s="44"/>
      <c r="H81" s="6" t="s">
        <v>15</v>
      </c>
      <c r="I81" s="4"/>
    </row>
    <row r="82" spans="1:9" x14ac:dyDescent="0.35">
      <c r="A82" s="24"/>
      <c r="B82" s="7"/>
      <c r="C82" s="8"/>
      <c r="D82" s="6"/>
      <c r="E82" s="6"/>
      <c r="F82" s="11"/>
      <c r="G82" s="45"/>
      <c r="H82" s="2" t="s">
        <v>15</v>
      </c>
      <c r="I82" s="8"/>
    </row>
    <row r="83" spans="1:9" x14ac:dyDescent="0.35">
      <c r="A83" s="29"/>
      <c r="B83" s="3"/>
      <c r="C83" s="4"/>
      <c r="D83" s="2"/>
      <c r="E83" s="2"/>
      <c r="F83" s="10"/>
      <c r="G83" s="44"/>
      <c r="H83" s="6" t="s">
        <v>15</v>
      </c>
      <c r="I83" s="4"/>
    </row>
    <row r="84" spans="1:9" x14ac:dyDescent="0.35">
      <c r="A84" s="29"/>
      <c r="B84" s="3"/>
      <c r="C84" s="4"/>
      <c r="D84" s="2"/>
      <c r="E84" s="2"/>
      <c r="F84" s="10"/>
      <c r="G84" s="44"/>
      <c r="H84" s="2" t="s">
        <v>15</v>
      </c>
      <c r="I84" s="4"/>
    </row>
    <row r="85" spans="1:9" x14ac:dyDescent="0.35">
      <c r="A85" s="24"/>
      <c r="B85" s="7"/>
      <c r="C85" s="8"/>
      <c r="D85" s="6"/>
      <c r="E85" s="6"/>
      <c r="F85" s="11"/>
      <c r="G85" s="45"/>
      <c r="H85" s="6" t="s">
        <v>15</v>
      </c>
      <c r="I85" s="8"/>
    </row>
    <row r="86" spans="1:9" x14ac:dyDescent="0.35">
      <c r="A86" s="29"/>
      <c r="B86" s="3"/>
      <c r="C86" s="4"/>
      <c r="D86" s="2"/>
      <c r="E86" s="2"/>
      <c r="F86" s="10"/>
      <c r="G86" s="44"/>
      <c r="H86" s="2" t="s">
        <v>15</v>
      </c>
      <c r="I86" s="4"/>
    </row>
    <row r="87" spans="1:9" x14ac:dyDescent="0.35">
      <c r="A87" s="24"/>
      <c r="B87" s="7"/>
      <c r="C87" s="8"/>
      <c r="D87" s="6"/>
      <c r="E87" s="6"/>
      <c r="F87" s="11"/>
      <c r="G87" s="45"/>
      <c r="H87" s="6" t="s">
        <v>15</v>
      </c>
      <c r="I87" s="8"/>
    </row>
    <row r="88" spans="1:9" x14ac:dyDescent="0.35">
      <c r="A88" s="29"/>
      <c r="B88" s="3"/>
      <c r="C88" s="4"/>
      <c r="D88" s="2"/>
      <c r="E88" s="2"/>
      <c r="F88" s="10"/>
      <c r="G88" s="44"/>
      <c r="H88" s="2" t="s">
        <v>15</v>
      </c>
      <c r="I88" s="4"/>
    </row>
    <row r="89" spans="1:9" x14ac:dyDescent="0.35">
      <c r="A89" s="29"/>
      <c r="B89" s="3"/>
      <c r="C89" s="4"/>
      <c r="D89" s="2"/>
      <c r="E89" s="2"/>
      <c r="F89" s="10"/>
      <c r="G89" s="44"/>
      <c r="H89" s="6" t="s">
        <v>15</v>
      </c>
      <c r="I89" s="4"/>
    </row>
    <row r="90" spans="1:9" x14ac:dyDescent="0.35">
      <c r="A90" s="24"/>
      <c r="B90" s="7"/>
      <c r="C90" s="8"/>
      <c r="D90" s="6"/>
      <c r="E90" s="6"/>
      <c r="F90" s="11"/>
      <c r="G90" s="45"/>
      <c r="H90" s="2" t="s">
        <v>15</v>
      </c>
      <c r="I90" s="8"/>
    </row>
    <row r="91" spans="1:9" x14ac:dyDescent="0.35">
      <c r="A91" s="29"/>
      <c r="B91" s="3"/>
      <c r="C91" s="4"/>
      <c r="D91" s="2"/>
      <c r="E91" s="2"/>
      <c r="F91" s="10"/>
      <c r="G91" s="44"/>
      <c r="H91" s="6" t="s">
        <v>15</v>
      </c>
      <c r="I91" s="4"/>
    </row>
    <row r="92" spans="1:9" x14ac:dyDescent="0.35">
      <c r="A92" s="24"/>
      <c r="B92" s="7"/>
      <c r="C92" s="8"/>
      <c r="D92" s="6"/>
      <c r="E92" s="6"/>
      <c r="F92" s="11"/>
      <c r="G92" s="45"/>
      <c r="H92" s="2" t="s">
        <v>15</v>
      </c>
      <c r="I92" s="8"/>
    </row>
    <row r="93" spans="1:9" x14ac:dyDescent="0.35">
      <c r="A93" s="29"/>
      <c r="B93" s="3"/>
      <c r="C93" s="4"/>
      <c r="D93" s="2"/>
      <c r="E93" s="2"/>
      <c r="F93" s="10"/>
      <c r="G93" s="44"/>
      <c r="H93" s="2" t="s">
        <v>15</v>
      </c>
      <c r="I93" s="4"/>
    </row>
    <row r="94" spans="1:9" x14ac:dyDescent="0.35">
      <c r="A94" s="29"/>
      <c r="B94" s="3"/>
      <c r="C94" s="4"/>
      <c r="D94" s="2"/>
      <c r="E94" s="2"/>
      <c r="F94" s="10"/>
      <c r="G94" s="44"/>
      <c r="H94" s="6" t="s">
        <v>15</v>
      </c>
      <c r="I94" s="4"/>
    </row>
    <row r="95" spans="1:9" x14ac:dyDescent="0.35">
      <c r="A95" s="24"/>
      <c r="B95" s="7"/>
      <c r="C95" s="8"/>
      <c r="D95" s="6"/>
      <c r="E95" s="6"/>
      <c r="F95" s="11"/>
      <c r="G95" s="45"/>
      <c r="H95" s="2" t="s">
        <v>15</v>
      </c>
      <c r="I95" s="8"/>
    </row>
    <row r="96" spans="1:9" x14ac:dyDescent="0.35">
      <c r="A96" s="29"/>
      <c r="B96" s="3"/>
      <c r="C96" s="4"/>
      <c r="D96" s="2"/>
      <c r="E96" s="2"/>
      <c r="F96" s="10"/>
      <c r="G96" s="44"/>
      <c r="H96" s="6" t="s">
        <v>15</v>
      </c>
      <c r="I96" s="4"/>
    </row>
    <row r="97" spans="1:9" x14ac:dyDescent="0.35">
      <c r="A97" s="24"/>
      <c r="B97" s="7"/>
      <c r="C97" s="8"/>
      <c r="D97" s="6"/>
      <c r="E97" s="6"/>
      <c r="F97" s="11"/>
      <c r="G97" s="45"/>
      <c r="H97" s="2" t="s">
        <v>15</v>
      </c>
      <c r="I97" s="8"/>
    </row>
    <row r="98" spans="1:9" x14ac:dyDescent="0.35">
      <c r="A98" s="29"/>
      <c r="B98" s="3"/>
      <c r="C98" s="4"/>
      <c r="D98" s="2"/>
      <c r="E98" s="2"/>
      <c r="F98" s="10"/>
      <c r="G98" s="44"/>
      <c r="H98" s="6" t="s">
        <v>15</v>
      </c>
      <c r="I98" s="4"/>
    </row>
    <row r="99" spans="1:9" x14ac:dyDescent="0.35">
      <c r="A99" s="29"/>
      <c r="B99" s="3"/>
      <c r="C99" s="4"/>
      <c r="D99" s="2"/>
      <c r="E99" s="2"/>
      <c r="F99" s="10"/>
      <c r="G99" s="44"/>
      <c r="H99" s="2" t="s">
        <v>15</v>
      </c>
      <c r="I99" s="4"/>
    </row>
    <row r="100" spans="1:9" x14ac:dyDescent="0.35">
      <c r="A100" s="24"/>
      <c r="B100" s="7"/>
      <c r="C100" s="8"/>
      <c r="D100" s="6"/>
      <c r="E100" s="6"/>
      <c r="F100" s="11"/>
      <c r="G100" s="45"/>
      <c r="H100" s="6" t="s">
        <v>15</v>
      </c>
      <c r="I100" s="8"/>
    </row>
    <row r="101" spans="1:9" x14ac:dyDescent="0.35">
      <c r="A101" s="29"/>
      <c r="B101" s="3"/>
      <c r="C101" s="4"/>
      <c r="D101" s="2"/>
      <c r="E101" s="2"/>
      <c r="F101" s="10"/>
      <c r="G101" s="44"/>
      <c r="H101" s="2" t="s">
        <v>15</v>
      </c>
      <c r="I101" s="4"/>
    </row>
    <row r="102" spans="1:9" x14ac:dyDescent="0.35">
      <c r="A102" s="24"/>
      <c r="B102" s="7"/>
      <c r="C102" s="8"/>
      <c r="D102" s="6"/>
      <c r="E102" s="6"/>
      <c r="F102" s="11"/>
      <c r="G102" s="45"/>
      <c r="H102" s="6" t="s">
        <v>15</v>
      </c>
      <c r="I102" s="8"/>
    </row>
    <row r="103" spans="1:9" x14ac:dyDescent="0.35">
      <c r="A103" s="29"/>
      <c r="B103" s="3"/>
      <c r="C103" s="4"/>
      <c r="D103" s="2"/>
      <c r="E103" s="2"/>
      <c r="F103" s="10"/>
      <c r="G103" s="44"/>
      <c r="H103" s="2" t="s">
        <v>15</v>
      </c>
      <c r="I103" s="4"/>
    </row>
    <row r="104" spans="1:9" x14ac:dyDescent="0.35">
      <c r="A104" s="29"/>
      <c r="B104" s="3"/>
      <c r="C104" s="4"/>
      <c r="D104" s="2"/>
      <c r="E104" s="2"/>
      <c r="F104" s="10"/>
      <c r="G104" s="44"/>
      <c r="H104" s="6" t="s">
        <v>15</v>
      </c>
      <c r="I104" s="4"/>
    </row>
    <row r="105" spans="1:9" x14ac:dyDescent="0.35">
      <c r="A105" s="24"/>
      <c r="B105" s="7"/>
      <c r="C105" s="8"/>
      <c r="D105" s="6"/>
      <c r="E105" s="6"/>
      <c r="F105" s="11"/>
      <c r="G105" s="45"/>
      <c r="H105" s="2" t="s">
        <v>15</v>
      </c>
      <c r="I105" s="8"/>
    </row>
    <row r="106" spans="1:9" x14ac:dyDescent="0.35">
      <c r="A106" s="29"/>
      <c r="B106" s="3"/>
      <c r="C106" s="4"/>
      <c r="D106" s="2"/>
      <c r="E106" s="2"/>
      <c r="F106" s="10"/>
      <c r="G106" s="44"/>
      <c r="H106" s="6" t="s">
        <v>15</v>
      </c>
      <c r="I106" s="4"/>
    </row>
    <row r="107" spans="1:9" x14ac:dyDescent="0.35">
      <c r="A107" s="24"/>
      <c r="B107" s="7"/>
      <c r="C107" s="8"/>
      <c r="D107" s="6"/>
      <c r="E107" s="6"/>
      <c r="F107" s="11"/>
      <c r="G107" s="45"/>
      <c r="H107" s="2" t="s">
        <v>15</v>
      </c>
      <c r="I107" s="8"/>
    </row>
    <row r="108" spans="1:9" x14ac:dyDescent="0.35">
      <c r="A108" s="29"/>
      <c r="B108" s="3"/>
      <c r="C108" s="4"/>
      <c r="D108" s="2"/>
      <c r="E108" s="2"/>
      <c r="F108" s="10"/>
      <c r="G108" s="44"/>
      <c r="H108" s="6" t="s">
        <v>15</v>
      </c>
      <c r="I108" s="4"/>
    </row>
    <row r="109" spans="1:9" x14ac:dyDescent="0.35">
      <c r="A109" s="29"/>
      <c r="B109" s="3"/>
      <c r="C109" s="4"/>
      <c r="D109" s="2"/>
      <c r="E109" s="2"/>
      <c r="F109" s="10"/>
      <c r="G109" s="44"/>
      <c r="H109" s="2" t="s">
        <v>15</v>
      </c>
      <c r="I109" s="4"/>
    </row>
    <row r="110" spans="1:9" x14ac:dyDescent="0.35">
      <c r="A110" s="24"/>
      <c r="B110" s="7"/>
      <c r="C110" s="8"/>
      <c r="D110" s="6"/>
      <c r="E110" s="6"/>
      <c r="F110" s="11"/>
      <c r="G110" s="45"/>
      <c r="H110" s="6" t="s">
        <v>15</v>
      </c>
      <c r="I110" s="8"/>
    </row>
    <row r="111" spans="1:9" x14ac:dyDescent="0.35">
      <c r="A111" s="29"/>
      <c r="B111" s="3"/>
      <c r="C111" s="4"/>
      <c r="D111" s="2"/>
      <c r="E111" s="2"/>
      <c r="F111" s="10"/>
      <c r="G111" s="44"/>
      <c r="H111" s="2" t="s">
        <v>15</v>
      </c>
      <c r="I111" s="4"/>
    </row>
    <row r="112" spans="1:9" x14ac:dyDescent="0.35">
      <c r="A112" s="24"/>
      <c r="B112" s="7"/>
      <c r="C112" s="8"/>
      <c r="D112" s="6"/>
      <c r="E112" s="6"/>
      <c r="F112" s="11"/>
      <c r="G112" s="45"/>
      <c r="H112" s="2" t="s">
        <v>15</v>
      </c>
      <c r="I112" s="8"/>
    </row>
    <row r="113" spans="1:9" x14ac:dyDescent="0.35">
      <c r="A113" s="29"/>
      <c r="B113" s="3"/>
      <c r="C113" s="4"/>
      <c r="D113" s="2"/>
      <c r="E113" s="2"/>
      <c r="F113" s="10"/>
      <c r="G113" s="44"/>
      <c r="H113" s="6" t="s">
        <v>15</v>
      </c>
      <c r="I113" s="4"/>
    </row>
    <row r="114" spans="1:9" x14ac:dyDescent="0.35">
      <c r="A114" s="29"/>
      <c r="B114" s="3"/>
      <c r="C114" s="4"/>
      <c r="D114" s="2"/>
      <c r="E114" s="2"/>
      <c r="F114" s="10"/>
      <c r="G114" s="44"/>
      <c r="H114" s="2" t="s">
        <v>15</v>
      </c>
      <c r="I114" s="4"/>
    </row>
    <row r="115" spans="1:9" x14ac:dyDescent="0.35">
      <c r="A115" s="24"/>
      <c r="B115" s="7"/>
      <c r="C115" s="8"/>
      <c r="D115" s="6"/>
      <c r="E115" s="6"/>
      <c r="F115" s="11"/>
      <c r="G115" s="45"/>
      <c r="H115" s="6" t="s">
        <v>15</v>
      </c>
      <c r="I115" s="8"/>
    </row>
    <row r="116" spans="1:9" x14ac:dyDescent="0.35">
      <c r="A116" s="29"/>
      <c r="B116" s="3"/>
      <c r="C116" s="4"/>
      <c r="D116" s="2"/>
      <c r="E116" s="2"/>
      <c r="F116" s="10"/>
      <c r="G116" s="44"/>
      <c r="H116" s="2" t="s">
        <v>15</v>
      </c>
      <c r="I116" s="4"/>
    </row>
    <row r="117" spans="1:9" x14ac:dyDescent="0.35">
      <c r="A117" s="24"/>
      <c r="B117" s="7"/>
      <c r="C117" s="8"/>
      <c r="D117" s="6"/>
      <c r="E117" s="6"/>
      <c r="F117" s="11"/>
      <c r="G117" s="45"/>
      <c r="H117" s="6" t="s">
        <v>15</v>
      </c>
      <c r="I117" s="8"/>
    </row>
    <row r="118" spans="1:9" x14ac:dyDescent="0.35">
      <c r="A118" s="29"/>
      <c r="B118" s="3"/>
      <c r="C118" s="4"/>
      <c r="D118" s="2"/>
      <c r="E118" s="2"/>
      <c r="F118" s="10"/>
      <c r="G118" s="44"/>
      <c r="H118" s="2" t="s">
        <v>15</v>
      </c>
      <c r="I118" s="4"/>
    </row>
    <row r="119" spans="1:9" x14ac:dyDescent="0.35">
      <c r="A119" s="29"/>
      <c r="B119" s="3"/>
      <c r="C119" s="4"/>
      <c r="D119" s="2"/>
      <c r="E119" s="2"/>
      <c r="F119" s="10"/>
      <c r="G119" s="44"/>
      <c r="H119" s="6" t="s">
        <v>15</v>
      </c>
      <c r="I119" s="4"/>
    </row>
    <row r="120" spans="1:9" x14ac:dyDescent="0.35">
      <c r="A120" s="24"/>
      <c r="B120" s="7"/>
      <c r="C120" s="8"/>
      <c r="D120" s="6"/>
      <c r="E120" s="6"/>
      <c r="F120" s="11"/>
      <c r="G120" s="45"/>
      <c r="H120" s="2" t="s">
        <v>15</v>
      </c>
      <c r="I120" s="8"/>
    </row>
    <row r="121" spans="1:9" x14ac:dyDescent="0.35">
      <c r="A121" s="29"/>
      <c r="B121" s="3"/>
      <c r="C121" s="4"/>
      <c r="D121" s="2"/>
      <c r="E121" s="2"/>
      <c r="F121" s="10"/>
      <c r="G121" s="44"/>
      <c r="H121" s="6" t="s">
        <v>15</v>
      </c>
      <c r="I121" s="4"/>
    </row>
    <row r="122" spans="1:9" x14ac:dyDescent="0.35">
      <c r="A122" s="24"/>
      <c r="B122" s="7"/>
      <c r="C122" s="8"/>
      <c r="D122" s="6"/>
      <c r="E122" s="6"/>
      <c r="F122" s="11"/>
      <c r="G122" s="45"/>
      <c r="H122" s="2" t="s">
        <v>15</v>
      </c>
      <c r="I122" s="8"/>
    </row>
    <row r="123" spans="1:9" x14ac:dyDescent="0.35">
      <c r="A123" s="29"/>
      <c r="B123" s="3"/>
      <c r="C123" s="4"/>
      <c r="D123" s="2"/>
      <c r="E123" s="2"/>
      <c r="F123" s="10"/>
      <c r="G123" s="44"/>
      <c r="H123" s="6" t="s">
        <v>15</v>
      </c>
      <c r="I123" s="4"/>
    </row>
    <row r="124" spans="1:9" x14ac:dyDescent="0.35">
      <c r="A124" s="29"/>
      <c r="B124" s="3"/>
      <c r="C124" s="4"/>
      <c r="D124" s="2"/>
      <c r="E124" s="2"/>
      <c r="F124" s="10"/>
      <c r="G124" s="44"/>
      <c r="H124" s="2" t="s">
        <v>15</v>
      </c>
      <c r="I124" s="4"/>
    </row>
    <row r="125" spans="1:9" x14ac:dyDescent="0.35">
      <c r="A125" s="24"/>
      <c r="B125" s="7"/>
      <c r="C125" s="8"/>
      <c r="D125" s="6"/>
      <c r="E125" s="6"/>
      <c r="F125" s="11"/>
      <c r="G125" s="45"/>
      <c r="H125" s="6" t="s">
        <v>15</v>
      </c>
      <c r="I125" s="8"/>
    </row>
    <row r="126" spans="1:9" x14ac:dyDescent="0.35">
      <c r="A126" s="29"/>
      <c r="B126" s="3"/>
      <c r="C126" s="4"/>
      <c r="D126" s="2"/>
      <c r="E126" s="2"/>
      <c r="F126" s="10"/>
      <c r="G126" s="44"/>
      <c r="H126" s="2" t="s">
        <v>15</v>
      </c>
      <c r="I126" s="4"/>
    </row>
    <row r="127" spans="1:9" x14ac:dyDescent="0.35">
      <c r="A127" s="24"/>
      <c r="B127" s="7"/>
      <c r="C127" s="8"/>
      <c r="D127" s="6"/>
      <c r="E127" s="6"/>
      <c r="F127" s="11"/>
      <c r="G127" s="45"/>
      <c r="H127" s="6" t="s">
        <v>15</v>
      </c>
      <c r="I127" s="8"/>
    </row>
    <row r="128" spans="1:9" x14ac:dyDescent="0.35">
      <c r="A128" s="29"/>
      <c r="B128" s="3"/>
      <c r="C128" s="4"/>
      <c r="D128" s="2"/>
      <c r="E128" s="2"/>
      <c r="F128" s="10"/>
      <c r="G128" s="44"/>
      <c r="H128" s="2" t="s">
        <v>15</v>
      </c>
      <c r="I128" s="4"/>
    </row>
    <row r="129" spans="1:9" x14ac:dyDescent="0.35">
      <c r="A129" s="29"/>
      <c r="B129" s="3"/>
      <c r="C129" s="4"/>
      <c r="D129" s="2"/>
      <c r="E129" s="2"/>
      <c r="F129" s="10"/>
      <c r="G129" s="44"/>
      <c r="H129" s="6" t="s">
        <v>15</v>
      </c>
      <c r="I129" s="4"/>
    </row>
    <row r="130" spans="1:9" x14ac:dyDescent="0.35">
      <c r="A130" s="24"/>
      <c r="B130" s="7"/>
      <c r="C130" s="8"/>
      <c r="D130" s="6"/>
      <c r="E130" s="6"/>
      <c r="F130" s="11"/>
      <c r="G130" s="45"/>
      <c r="H130" s="2" t="s">
        <v>15</v>
      </c>
      <c r="I130" s="8"/>
    </row>
    <row r="131" spans="1:9" x14ac:dyDescent="0.35">
      <c r="A131" s="29"/>
      <c r="B131" s="3"/>
      <c r="C131" s="4"/>
      <c r="D131" s="2"/>
      <c r="E131" s="2"/>
      <c r="F131" s="10"/>
      <c r="G131" s="44"/>
      <c r="H131" s="2" t="s">
        <v>15</v>
      </c>
      <c r="I131" s="4"/>
    </row>
    <row r="132" spans="1:9" x14ac:dyDescent="0.35">
      <c r="A132" s="24"/>
      <c r="B132" s="7"/>
      <c r="C132" s="8"/>
      <c r="D132" s="6"/>
      <c r="E132" s="6"/>
      <c r="F132" s="11"/>
      <c r="G132" s="45"/>
      <c r="H132" s="6" t="s">
        <v>15</v>
      </c>
      <c r="I132" s="8"/>
    </row>
    <row r="133" spans="1:9" x14ac:dyDescent="0.35">
      <c r="A133" s="29"/>
      <c r="B133" s="3"/>
      <c r="C133" s="4"/>
      <c r="D133" s="2"/>
      <c r="E133" s="2"/>
      <c r="F133" s="10"/>
      <c r="G133" s="44"/>
      <c r="H133" s="2" t="s">
        <v>15</v>
      </c>
      <c r="I133" s="4"/>
    </row>
    <row r="134" spans="1:9" x14ac:dyDescent="0.35">
      <c r="A134" s="29"/>
      <c r="B134" s="3"/>
      <c r="C134" s="4"/>
      <c r="D134" s="2"/>
      <c r="E134" s="2"/>
      <c r="F134" s="10"/>
      <c r="G134" s="44"/>
      <c r="H134" s="6" t="s">
        <v>15</v>
      </c>
      <c r="I134" s="4"/>
    </row>
    <row r="135" spans="1:9" x14ac:dyDescent="0.35">
      <c r="A135" s="24"/>
      <c r="B135" s="7"/>
      <c r="C135" s="8"/>
      <c r="D135" s="6"/>
      <c r="E135" s="6"/>
      <c r="F135" s="11"/>
      <c r="G135" s="45"/>
      <c r="H135" s="2" t="s">
        <v>15</v>
      </c>
      <c r="I135" s="8"/>
    </row>
    <row r="136" spans="1:9" x14ac:dyDescent="0.35">
      <c r="A136" s="29"/>
      <c r="B136" s="3"/>
      <c r="C136" s="4"/>
      <c r="D136" s="2"/>
      <c r="E136" s="2"/>
      <c r="F136" s="10"/>
      <c r="G136" s="44"/>
      <c r="H136" s="6" t="s">
        <v>15</v>
      </c>
      <c r="I136" s="4"/>
    </row>
    <row r="137" spans="1:9" x14ac:dyDescent="0.35">
      <c r="A137" s="24"/>
      <c r="B137" s="7"/>
      <c r="C137" s="8"/>
      <c r="D137" s="6"/>
      <c r="E137" s="6"/>
      <c r="F137" s="11"/>
      <c r="G137" s="45"/>
      <c r="H137" s="2" t="s">
        <v>15</v>
      </c>
      <c r="I137" s="8"/>
    </row>
    <row r="138" spans="1:9" x14ac:dyDescent="0.35">
      <c r="A138" s="29"/>
      <c r="B138" s="3"/>
      <c r="C138" s="4"/>
      <c r="D138" s="2"/>
      <c r="E138" s="2"/>
      <c r="F138" s="10"/>
      <c r="G138" s="44"/>
      <c r="H138" s="6" t="s">
        <v>15</v>
      </c>
      <c r="I138" s="4"/>
    </row>
    <row r="139" spans="1:9" x14ac:dyDescent="0.35">
      <c r="A139" s="29"/>
      <c r="B139" s="3"/>
      <c r="C139" s="4"/>
      <c r="D139" s="2"/>
      <c r="E139" s="2"/>
      <c r="F139" s="10"/>
      <c r="G139" s="44"/>
      <c r="H139" s="2" t="s">
        <v>15</v>
      </c>
      <c r="I139" s="4"/>
    </row>
    <row r="140" spans="1:9" x14ac:dyDescent="0.35">
      <c r="A140" s="24"/>
      <c r="B140" s="7"/>
      <c r="C140" s="8"/>
      <c r="D140" s="6"/>
      <c r="E140" s="6"/>
      <c r="F140" s="11"/>
      <c r="G140" s="45"/>
      <c r="H140" s="6" t="s">
        <v>15</v>
      </c>
      <c r="I140" s="8"/>
    </row>
    <row r="141" spans="1:9" x14ac:dyDescent="0.35">
      <c r="A141" s="29"/>
      <c r="B141" s="3"/>
      <c r="C141" s="4"/>
      <c r="D141" s="2"/>
      <c r="E141" s="2"/>
      <c r="F141" s="10"/>
      <c r="G141" s="44"/>
      <c r="H141" s="2" t="s">
        <v>15</v>
      </c>
      <c r="I141" s="4"/>
    </row>
    <row r="142" spans="1:9" x14ac:dyDescent="0.35">
      <c r="A142" s="24"/>
      <c r="B142" s="7"/>
      <c r="C142" s="8"/>
      <c r="D142" s="6"/>
      <c r="E142" s="6"/>
      <c r="F142" s="11"/>
      <c r="G142" s="45"/>
      <c r="H142" s="6" t="s">
        <v>15</v>
      </c>
      <c r="I142" s="8"/>
    </row>
    <row r="143" spans="1:9" x14ac:dyDescent="0.35">
      <c r="A143" s="29"/>
      <c r="B143" s="3"/>
      <c r="C143" s="4"/>
      <c r="D143" s="2"/>
      <c r="E143" s="2"/>
      <c r="F143" s="10"/>
      <c r="G143" s="44"/>
      <c r="H143" s="2" t="s">
        <v>15</v>
      </c>
      <c r="I143" s="4"/>
    </row>
    <row r="144" spans="1:9" x14ac:dyDescent="0.35">
      <c r="A144" s="29"/>
      <c r="B144" s="3"/>
      <c r="C144" s="4"/>
      <c r="D144" s="2"/>
      <c r="E144" s="2"/>
      <c r="F144" s="10"/>
      <c r="G144" s="44"/>
      <c r="H144" s="6" t="s">
        <v>15</v>
      </c>
      <c r="I144" s="4"/>
    </row>
    <row r="145" spans="1:9" x14ac:dyDescent="0.35">
      <c r="A145" s="24"/>
      <c r="B145" s="7"/>
      <c r="C145" s="8"/>
      <c r="D145" s="6"/>
      <c r="E145" s="6"/>
      <c r="F145" s="11"/>
      <c r="G145" s="45"/>
      <c r="H145" s="2" t="s">
        <v>15</v>
      </c>
      <c r="I145" s="8"/>
    </row>
    <row r="146" spans="1:9" x14ac:dyDescent="0.35">
      <c r="A146" s="29"/>
      <c r="B146" s="3"/>
      <c r="C146" s="4"/>
      <c r="D146" s="2"/>
      <c r="E146" s="2"/>
      <c r="F146" s="10"/>
      <c r="G146" s="44"/>
      <c r="H146" s="6" t="s">
        <v>15</v>
      </c>
      <c r="I146" s="4"/>
    </row>
    <row r="147" spans="1:9" x14ac:dyDescent="0.35">
      <c r="A147" s="24"/>
      <c r="B147" s="7"/>
      <c r="C147" s="8"/>
      <c r="D147" s="6"/>
      <c r="E147" s="6"/>
      <c r="F147" s="11"/>
      <c r="G147" s="45"/>
      <c r="H147" s="2" t="s">
        <v>15</v>
      </c>
      <c r="I147" s="8"/>
    </row>
    <row r="148" spans="1:9" x14ac:dyDescent="0.35">
      <c r="A148" s="29"/>
      <c r="B148" s="3"/>
      <c r="C148" s="4"/>
      <c r="D148" s="2"/>
      <c r="E148" s="2"/>
      <c r="F148" s="10"/>
      <c r="G148" s="44"/>
      <c r="H148" s="6" t="s">
        <v>15</v>
      </c>
      <c r="I148" s="4"/>
    </row>
    <row r="149" spans="1:9" x14ac:dyDescent="0.35">
      <c r="A149" s="29"/>
      <c r="B149" s="3"/>
      <c r="C149" s="4"/>
      <c r="D149" s="2"/>
      <c r="E149" s="2"/>
      <c r="F149" s="10"/>
      <c r="G149" s="44"/>
      <c r="H149" s="2" t="s">
        <v>15</v>
      </c>
      <c r="I149" s="4"/>
    </row>
    <row r="150" spans="1:9" x14ac:dyDescent="0.35">
      <c r="A150" s="24"/>
      <c r="B150" s="7"/>
      <c r="C150" s="8"/>
      <c r="D150" s="6"/>
      <c r="E150" s="6"/>
      <c r="F150" s="11"/>
      <c r="G150" s="45"/>
      <c r="H150" s="2" t="s">
        <v>15</v>
      </c>
      <c r="I150" s="8"/>
    </row>
    <row r="151" spans="1:9" x14ac:dyDescent="0.35">
      <c r="A151" s="29"/>
      <c r="B151" s="3"/>
      <c r="C151" s="4"/>
      <c r="D151" s="2"/>
      <c r="E151" s="2"/>
      <c r="F151" s="10"/>
      <c r="G151" s="44"/>
      <c r="H151" s="6" t="s">
        <v>15</v>
      </c>
      <c r="I151" s="4"/>
    </row>
    <row r="152" spans="1:9" x14ac:dyDescent="0.35">
      <c r="A152" s="24"/>
      <c r="B152" s="7"/>
      <c r="C152" s="8"/>
      <c r="D152" s="6"/>
      <c r="E152" s="6"/>
      <c r="F152" s="11"/>
      <c r="G152" s="45"/>
      <c r="H152" s="2" t="s">
        <v>15</v>
      </c>
      <c r="I152" s="8"/>
    </row>
    <row r="153" spans="1:9" x14ac:dyDescent="0.35">
      <c r="A153" s="29"/>
      <c r="B153" s="3"/>
      <c r="C153" s="4"/>
      <c r="D153" s="2"/>
      <c r="E153" s="2"/>
      <c r="F153" s="10"/>
      <c r="G153" s="44"/>
      <c r="H153" s="6" t="s">
        <v>15</v>
      </c>
      <c r="I153" s="4"/>
    </row>
    <row r="154" spans="1:9" x14ac:dyDescent="0.35">
      <c r="A154" s="29"/>
      <c r="B154" s="3"/>
      <c r="C154" s="4"/>
      <c r="D154" s="2"/>
      <c r="E154" s="2"/>
      <c r="F154" s="10"/>
      <c r="G154" s="44"/>
      <c r="H154" s="2" t="s">
        <v>15</v>
      </c>
      <c r="I154" s="4"/>
    </row>
    <row r="155" spans="1:9" x14ac:dyDescent="0.35">
      <c r="A155" s="24"/>
      <c r="B155" s="7"/>
      <c r="C155" s="8"/>
      <c r="D155" s="6"/>
      <c r="E155" s="6"/>
      <c r="F155" s="11"/>
      <c r="G155" s="45"/>
      <c r="H155" s="6" t="s">
        <v>15</v>
      </c>
      <c r="I155" s="8"/>
    </row>
    <row r="156" spans="1:9" x14ac:dyDescent="0.35">
      <c r="A156" s="29"/>
      <c r="B156" s="3"/>
      <c r="C156" s="4"/>
      <c r="D156" s="2"/>
      <c r="E156" s="2"/>
      <c r="F156" s="10"/>
      <c r="G156" s="44"/>
      <c r="H156" s="2" t="s">
        <v>15</v>
      </c>
      <c r="I156" s="4"/>
    </row>
    <row r="157" spans="1:9" x14ac:dyDescent="0.35">
      <c r="A157" s="24"/>
      <c r="B157" s="7"/>
      <c r="C157" s="8"/>
      <c r="D157" s="6"/>
      <c r="E157" s="6"/>
      <c r="F157" s="11"/>
      <c r="G157" s="45"/>
      <c r="H157" s="6" t="s">
        <v>15</v>
      </c>
      <c r="I157" s="8"/>
    </row>
    <row r="158" spans="1:9" x14ac:dyDescent="0.35">
      <c r="A158" s="29"/>
      <c r="B158" s="3"/>
      <c r="C158" s="4"/>
      <c r="D158" s="2"/>
      <c r="E158" s="2"/>
      <c r="F158" s="10"/>
      <c r="G158" s="44"/>
      <c r="H158" s="2" t="s">
        <v>15</v>
      </c>
      <c r="I158" s="4"/>
    </row>
    <row r="159" spans="1:9" x14ac:dyDescent="0.35">
      <c r="A159" s="29"/>
      <c r="B159" s="3"/>
      <c r="C159" s="4"/>
      <c r="D159" s="2"/>
      <c r="E159" s="2"/>
      <c r="F159" s="10"/>
      <c r="G159" s="44"/>
      <c r="H159" s="6" t="s">
        <v>15</v>
      </c>
      <c r="I159" s="4"/>
    </row>
    <row r="160" spans="1:9" x14ac:dyDescent="0.35">
      <c r="A160" s="24"/>
      <c r="B160" s="7"/>
      <c r="C160" s="8"/>
      <c r="D160" s="6"/>
      <c r="E160" s="6"/>
      <c r="F160" s="11"/>
      <c r="G160" s="45"/>
      <c r="H160" s="2" t="s">
        <v>15</v>
      </c>
      <c r="I160" s="8"/>
    </row>
    <row r="161" spans="1:9" x14ac:dyDescent="0.35">
      <c r="A161" s="29"/>
      <c r="B161" s="3"/>
      <c r="C161" s="4"/>
      <c r="D161" s="2"/>
      <c r="E161" s="2"/>
      <c r="F161" s="10"/>
      <c r="G161" s="44"/>
      <c r="H161" s="6" t="s">
        <v>15</v>
      </c>
      <c r="I161" s="4"/>
    </row>
    <row r="162" spans="1:9" x14ac:dyDescent="0.35">
      <c r="A162" s="24"/>
      <c r="B162" s="7"/>
      <c r="C162" s="8"/>
      <c r="D162" s="6"/>
      <c r="E162" s="6"/>
      <c r="F162" s="11"/>
      <c r="G162" s="45"/>
      <c r="H162" s="2" t="s">
        <v>15</v>
      </c>
      <c r="I162" s="8"/>
    </row>
    <row r="163" spans="1:9" x14ac:dyDescent="0.35">
      <c r="A163" s="29"/>
      <c r="B163" s="3"/>
      <c r="C163" s="4"/>
      <c r="D163" s="2"/>
      <c r="E163" s="2"/>
      <c r="F163" s="10"/>
      <c r="G163" s="44"/>
      <c r="H163" s="6" t="s">
        <v>15</v>
      </c>
      <c r="I163" s="4"/>
    </row>
    <row r="164" spans="1:9" x14ac:dyDescent="0.35">
      <c r="A164" s="29"/>
      <c r="B164" s="3"/>
      <c r="C164" s="4"/>
      <c r="D164" s="2"/>
      <c r="E164" s="2"/>
      <c r="F164" s="10"/>
      <c r="G164" s="44"/>
      <c r="H164" s="2" t="s">
        <v>15</v>
      </c>
    </row>
    <row r="165" spans="1:9" x14ac:dyDescent="0.35">
      <c r="C165" t="str">
        <f>IFERROR(VLOOKUP(B165,'Client Database'!B:C,2,0),"")</f>
        <v/>
      </c>
      <c r="D165" t="str">
        <f>IFERROR(VLOOKUP(B165,'Client Database'!B:D,3,0),"")</f>
        <v/>
      </c>
      <c r="E165" t="str">
        <f>IFERROR(VLOOKUP(B165,'Client Database'!B:E,4,0),"")</f>
        <v/>
      </c>
      <c r="F165" t="str">
        <f>IFERROR(VLOOKUP(B165,'Client Database'!B:G,6,0),"")</f>
        <v/>
      </c>
      <c r="G165" s="42" t="str">
        <f t="shared" ref="G165:G170" si="0">IF(A165="","",A165)</f>
        <v/>
      </c>
      <c r="H165" s="6" t="s">
        <v>15</v>
      </c>
    </row>
    <row r="166" spans="1:9" x14ac:dyDescent="0.35">
      <c r="C166" t="str">
        <f>IFERROR(VLOOKUP(B166,'Client Database'!B:C,2,0),"")</f>
        <v/>
      </c>
      <c r="D166" t="str">
        <f>IFERROR(VLOOKUP(B166,'Client Database'!B:D,3,0),"")</f>
        <v/>
      </c>
      <c r="E166" t="str">
        <f>IFERROR(VLOOKUP(B166,'Client Database'!B:E,4,0),"")</f>
        <v/>
      </c>
      <c r="F166" t="str">
        <f>IFERROR(VLOOKUP(B166,'Client Database'!B:G,6,0),"")</f>
        <v/>
      </c>
      <c r="G166" s="42" t="str">
        <f t="shared" si="0"/>
        <v/>
      </c>
      <c r="H166" s="2" t="s">
        <v>15</v>
      </c>
    </row>
    <row r="167" spans="1:9" x14ac:dyDescent="0.35">
      <c r="C167" t="str">
        <f>IFERROR(VLOOKUP(B167,'Client Database'!B:C,2,0),"")</f>
        <v/>
      </c>
      <c r="D167" t="str">
        <f>IFERROR(VLOOKUP(B167,'Client Database'!B:D,3,0),"")</f>
        <v/>
      </c>
      <c r="E167" t="str">
        <f>IFERROR(VLOOKUP(B167,'Client Database'!B:E,4,0),"")</f>
        <v/>
      </c>
      <c r="F167" t="str">
        <f>IFERROR(VLOOKUP(B167,'Client Database'!B:G,6,0),"")</f>
        <v/>
      </c>
      <c r="G167" s="42" t="str">
        <f t="shared" si="0"/>
        <v/>
      </c>
      <c r="H167" s="6" t="s">
        <v>15</v>
      </c>
    </row>
    <row r="168" spans="1:9" x14ac:dyDescent="0.35">
      <c r="C168" t="str">
        <f>IFERROR(VLOOKUP(B168,'Client Database'!B:C,2,0),"")</f>
        <v/>
      </c>
      <c r="D168" t="str">
        <f>IFERROR(VLOOKUP(B168,'Client Database'!B:D,3,0),"")</f>
        <v/>
      </c>
      <c r="E168" t="str">
        <f>IFERROR(VLOOKUP(B168,'Client Database'!B:E,4,0),"")</f>
        <v/>
      </c>
      <c r="F168" t="str">
        <f>IFERROR(VLOOKUP(B168,'Client Database'!B:G,6,0),"")</f>
        <v/>
      </c>
      <c r="G168" s="42" t="str">
        <f t="shared" si="0"/>
        <v/>
      </c>
      <c r="H168" s="2" t="s">
        <v>15</v>
      </c>
    </row>
    <row r="169" spans="1:9" x14ac:dyDescent="0.35">
      <c r="C169" t="str">
        <f>IFERROR(VLOOKUP(B169,'Client Database'!B:C,2,0),"")</f>
        <v/>
      </c>
      <c r="D169" t="str">
        <f>IFERROR(VLOOKUP(B169,'Client Database'!B:D,3,0),"")</f>
        <v/>
      </c>
      <c r="E169" t="str">
        <f>IFERROR(VLOOKUP(B169,'Client Database'!B:E,4,0),"")</f>
        <v/>
      </c>
      <c r="F169" t="str">
        <f>IFERROR(VLOOKUP(B169,'Client Database'!B:G,6,0),"")</f>
        <v/>
      </c>
      <c r="G169" s="42" t="str">
        <f t="shared" si="0"/>
        <v/>
      </c>
      <c r="H169" s="2" t="s">
        <v>15</v>
      </c>
    </row>
    <row r="170" spans="1:9" x14ac:dyDescent="0.35">
      <c r="C170" t="str">
        <f>IFERROR(VLOOKUP(B170,'Client Database'!B:C,2,0),"")</f>
        <v/>
      </c>
      <c r="D170" t="str">
        <f>IFERROR(VLOOKUP(B170,'Client Database'!B:D,3,0),"")</f>
        <v/>
      </c>
      <c r="E170" t="str">
        <f>IFERROR(VLOOKUP(B170,'Client Database'!B:E,4,0),"")</f>
        <v/>
      </c>
      <c r="F170" t="str">
        <f>IFERROR(VLOOKUP(B170,'Client Database'!B:G,6,0),"")</f>
        <v/>
      </c>
      <c r="G170" s="42" t="str">
        <f t="shared" si="0"/>
        <v/>
      </c>
      <c r="H170" s="6" t="s">
        <v>15</v>
      </c>
    </row>
    <row r="171" spans="1:9" x14ac:dyDescent="0.35">
      <c r="C171" t="str">
        <f>IFERROR(VLOOKUP(B171,'Client Database'!B:C,2,0),"")</f>
        <v/>
      </c>
      <c r="D171" t="str">
        <f>IFERROR(VLOOKUP(B171,'Client Database'!B:D,3,0),"")</f>
        <v/>
      </c>
      <c r="E171" t="str">
        <f>IFERROR(VLOOKUP(B171,'Client Database'!B:E,4,0),"")</f>
        <v/>
      </c>
      <c r="F171" t="str">
        <f>IFERROR(VLOOKUP(B171,'Client Database'!B:G,6,0),"")</f>
        <v/>
      </c>
      <c r="G171" s="42" t="str">
        <f t="shared" ref="G171:G176" si="1">IF(A171="","",A171)</f>
        <v/>
      </c>
    </row>
    <row r="172" spans="1:9" x14ac:dyDescent="0.35">
      <c r="C172" t="str">
        <f>IFERROR(VLOOKUP(B172,'Client Database'!B:C,2,0),"")</f>
        <v/>
      </c>
      <c r="D172" t="str">
        <f>IFERROR(VLOOKUP(B172,'Client Database'!B:D,3,0),"")</f>
        <v/>
      </c>
      <c r="E172" t="str">
        <f>IFERROR(VLOOKUP(B172,'Client Database'!B:E,4,0),"")</f>
        <v/>
      </c>
      <c r="F172" t="str">
        <f>IFERROR(VLOOKUP(B172,'Client Database'!B:G,6,0),"")</f>
        <v/>
      </c>
      <c r="G172" s="42" t="str">
        <f t="shared" si="1"/>
        <v/>
      </c>
    </row>
    <row r="173" spans="1:9" x14ac:dyDescent="0.35">
      <c r="C173" t="str">
        <f>IFERROR(VLOOKUP(B173,'Client Database'!B:C,2,0),"")</f>
        <v/>
      </c>
      <c r="D173" t="str">
        <f>IFERROR(VLOOKUP(B173,'Client Database'!B:D,3,0),"")</f>
        <v/>
      </c>
      <c r="E173" t="str">
        <f>IFERROR(VLOOKUP(B173,'Client Database'!B:E,4,0),"")</f>
        <v/>
      </c>
      <c r="F173" t="str">
        <f>IFERROR(VLOOKUP(B173,'Client Database'!B:G,6,0),"")</f>
        <v/>
      </c>
      <c r="G173" s="42" t="str">
        <f t="shared" si="1"/>
        <v/>
      </c>
    </row>
    <row r="174" spans="1:9" x14ac:dyDescent="0.35">
      <c r="C174" t="str">
        <f>IFERROR(VLOOKUP(B174,'Client Database'!B:C,2,0),"")</f>
        <v/>
      </c>
      <c r="D174" t="str">
        <f>IFERROR(VLOOKUP(B174,'Client Database'!B:D,3,0),"")</f>
        <v/>
      </c>
      <c r="E174" t="str">
        <f>IFERROR(VLOOKUP(B174,'Client Database'!B:E,4,0),"")</f>
        <v/>
      </c>
      <c r="F174" t="str">
        <f>IFERROR(VLOOKUP(B174,'Client Database'!B:G,6,0),"")</f>
        <v/>
      </c>
      <c r="G174" s="42" t="str">
        <f t="shared" si="1"/>
        <v/>
      </c>
    </row>
    <row r="175" spans="1:9" x14ac:dyDescent="0.35">
      <c r="C175" t="str">
        <f>IFERROR(VLOOKUP(B175,'Client Database'!B:C,2,0),"")</f>
        <v/>
      </c>
      <c r="D175" t="str">
        <f>IFERROR(VLOOKUP(B175,'Client Database'!B:D,3,0),"")</f>
        <v/>
      </c>
      <c r="E175" t="str">
        <f>IFERROR(VLOOKUP(B175,'Client Database'!B:E,4,0),"")</f>
        <v/>
      </c>
      <c r="F175" t="str">
        <f>IFERROR(VLOOKUP(B175,'Client Database'!B:G,6,0),"")</f>
        <v/>
      </c>
      <c r="G175" s="42" t="str">
        <f t="shared" si="1"/>
        <v/>
      </c>
    </row>
    <row r="176" spans="1:9" x14ac:dyDescent="0.35">
      <c r="C176" t="str">
        <f>IFERROR(VLOOKUP(B176,'Client Database'!B:C,2,0),"")</f>
        <v/>
      </c>
      <c r="D176" t="str">
        <f>IFERROR(VLOOKUP(B176,'Client Database'!B:D,3,0),"")</f>
        <v/>
      </c>
      <c r="E176" t="str">
        <f>IFERROR(VLOOKUP(B176,'Client Database'!B:E,4,0),"")</f>
        <v/>
      </c>
      <c r="F176" t="str">
        <f>IFERROR(VLOOKUP(B176,'Client Database'!B:G,6,0),"")</f>
        <v/>
      </c>
      <c r="G176" s="42" t="str">
        <f t="shared" si="1"/>
        <v/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5"/>
  <sheetViews>
    <sheetView zoomScale="65" zoomScaleNormal="100" workbookViewId="0">
      <pane ySplit="4" topLeftCell="A5" activePane="bottomLeft" state="frozen"/>
      <selection pane="bottomLeft" activeCell="C11" sqref="C11"/>
    </sheetView>
  </sheetViews>
  <sheetFormatPr defaultColWidth="8.6328125" defaultRowHeight="14.5" x14ac:dyDescent="0.35"/>
  <cols>
    <col min="1" max="1" width="9" customWidth="1"/>
    <col min="2" max="2" width="20" customWidth="1"/>
    <col min="3" max="3" width="26" customWidth="1"/>
    <col min="4" max="4" width="22" customWidth="1"/>
    <col min="5" max="5" width="18" customWidth="1"/>
    <col min="6" max="6" width="16" customWidth="1"/>
    <col min="7" max="7" width="15" customWidth="1"/>
    <col min="8" max="8" width="18" customWidth="1"/>
  </cols>
  <sheetData>
    <row r="1" spans="1:8" ht="30" customHeight="1" x14ac:dyDescent="0.35">
      <c r="A1" s="55" t="s">
        <v>76</v>
      </c>
      <c r="B1" s="56"/>
      <c r="C1" s="56"/>
      <c r="D1" s="56"/>
      <c r="E1" s="56"/>
      <c r="F1" s="56"/>
      <c r="G1" s="56"/>
      <c r="H1" s="56"/>
    </row>
    <row r="2" spans="1:8" ht="19.5" customHeight="1" x14ac:dyDescent="0.35">
      <c r="A2" s="58" t="s">
        <v>77</v>
      </c>
      <c r="B2" s="56"/>
      <c r="C2" s="56"/>
      <c r="D2" s="56"/>
      <c r="E2" s="56"/>
      <c r="F2" s="56"/>
      <c r="G2" s="56"/>
      <c r="H2" s="56"/>
    </row>
    <row r="3" spans="1:8" ht="27.75" customHeight="1" x14ac:dyDescent="0.35">
      <c r="A3" s="61" t="s">
        <v>78</v>
      </c>
      <c r="B3" s="60"/>
      <c r="C3" s="60"/>
      <c r="D3" s="59" t="s">
        <v>471</v>
      </c>
      <c r="E3" s="60"/>
      <c r="F3" s="60"/>
      <c r="G3" s="62" t="s">
        <v>79</v>
      </c>
      <c r="H3" s="63"/>
    </row>
    <row r="4" spans="1:8" ht="27.75" customHeight="1" x14ac:dyDescent="0.35">
      <c r="A4" s="12" t="s">
        <v>80</v>
      </c>
      <c r="B4" s="12" t="s">
        <v>2</v>
      </c>
      <c r="C4" s="12" t="s">
        <v>3</v>
      </c>
      <c r="D4" s="12" t="s">
        <v>4</v>
      </c>
      <c r="E4" s="12" t="s">
        <v>5</v>
      </c>
      <c r="F4" s="12" t="s">
        <v>81</v>
      </c>
      <c r="G4" s="12" t="s">
        <v>82</v>
      </c>
      <c r="H4" s="12" t="s">
        <v>83</v>
      </c>
    </row>
    <row r="5" spans="1:8" ht="18" customHeight="1" x14ac:dyDescent="0.35">
      <c r="A5" s="13" t="s">
        <v>470</v>
      </c>
      <c r="B5" s="7" t="s">
        <v>16</v>
      </c>
      <c r="C5" s="8" t="s">
        <v>17</v>
      </c>
      <c r="D5" s="6" t="s">
        <v>14</v>
      </c>
      <c r="E5" s="6"/>
      <c r="F5" s="50">
        <v>46133.708333333336</v>
      </c>
      <c r="G5" s="11">
        <f>IFERROR(VLOOKUP(B5,'Client Database'!B:G,6,0),"")</f>
        <v>70</v>
      </c>
      <c r="H5" s="26">
        <v>46130.477824074071</v>
      </c>
    </row>
    <row r="6" spans="1:8" ht="18" customHeight="1" x14ac:dyDescent="0.35">
      <c r="A6" s="13" t="s">
        <v>470</v>
      </c>
      <c r="B6" s="3" t="s">
        <v>18</v>
      </c>
      <c r="C6" s="4" t="s">
        <v>19</v>
      </c>
      <c r="D6" s="2" t="s">
        <v>20</v>
      </c>
      <c r="E6" s="2" t="s">
        <v>21</v>
      </c>
      <c r="F6" s="49">
        <v>46134.666666666664</v>
      </c>
      <c r="G6" s="10">
        <f>IFERROR(VLOOKUP(B6,'Client Database'!B:G,6,0),"")</f>
        <v>60</v>
      </c>
      <c r="H6" s="37">
        <v>46130.477824074071</v>
      </c>
    </row>
    <row r="7" spans="1:8" ht="18" customHeight="1" x14ac:dyDescent="0.35">
      <c r="A7" s="13" t="s">
        <v>470</v>
      </c>
      <c r="B7" s="7" t="s">
        <v>22</v>
      </c>
      <c r="C7" s="8" t="s">
        <v>23</v>
      </c>
      <c r="D7" s="6" t="s">
        <v>20</v>
      </c>
      <c r="E7" s="6" t="s">
        <v>24</v>
      </c>
      <c r="F7" s="50">
        <v>46134.729166666664</v>
      </c>
      <c r="G7" s="11">
        <f>IFERROR(VLOOKUP(B7,'Client Database'!B:G,6,0),"")</f>
        <v>70</v>
      </c>
      <c r="H7" s="26">
        <v>46130.477824074071</v>
      </c>
    </row>
    <row r="8" spans="1:8" ht="18" customHeight="1" x14ac:dyDescent="0.35">
      <c r="A8" s="13" t="s">
        <v>470</v>
      </c>
      <c r="B8" s="3" t="s">
        <v>25</v>
      </c>
      <c r="C8" s="4" t="s">
        <v>26</v>
      </c>
      <c r="D8" s="2" t="s">
        <v>20</v>
      </c>
      <c r="E8" s="2" t="s">
        <v>27</v>
      </c>
      <c r="F8" s="49">
        <v>46135.666666666664</v>
      </c>
      <c r="G8" s="10">
        <f>IFERROR(VLOOKUP(B8,'Client Database'!B:G,6,0),"")</f>
        <v>70</v>
      </c>
      <c r="H8" s="37">
        <v>46130.477824074071</v>
      </c>
    </row>
    <row r="9" spans="1:8" ht="18" customHeight="1" x14ac:dyDescent="0.35">
      <c r="A9" s="13" t="s">
        <v>470</v>
      </c>
      <c r="B9" s="7" t="s">
        <v>28</v>
      </c>
      <c r="C9" s="8" t="s">
        <v>29</v>
      </c>
      <c r="D9" s="6" t="s">
        <v>20</v>
      </c>
      <c r="E9" s="6" t="s">
        <v>30</v>
      </c>
      <c r="F9" s="50">
        <v>46135.729166666664</v>
      </c>
      <c r="G9" s="11">
        <f>IFERROR(VLOOKUP(B9,'Client Database'!B:G,6,0),"")</f>
        <v>70</v>
      </c>
      <c r="H9" s="26">
        <v>46130.477824074071</v>
      </c>
    </row>
    <row r="10" spans="1:8" ht="18" customHeight="1" x14ac:dyDescent="0.35">
      <c r="A10" s="13" t="s">
        <v>470</v>
      </c>
      <c r="B10" s="3" t="s">
        <v>32</v>
      </c>
      <c r="C10" s="4" t="s">
        <v>33</v>
      </c>
      <c r="D10" s="2" t="s">
        <v>14</v>
      </c>
      <c r="E10" s="2"/>
      <c r="F10" s="49">
        <v>46136.729166666664</v>
      </c>
      <c r="G10" s="10">
        <f>IFERROR(VLOOKUP(B10,'Client Database'!B:G,6,0),"")</f>
        <v>120</v>
      </c>
      <c r="H10" s="37">
        <v>46130.477824074071</v>
      </c>
    </row>
    <row r="11" spans="1:8" ht="18" customHeight="1" x14ac:dyDescent="0.35">
      <c r="A11" s="13" t="s">
        <v>470</v>
      </c>
      <c r="B11" s="7" t="s">
        <v>35</v>
      </c>
      <c r="C11" s="8" t="s">
        <v>36</v>
      </c>
      <c r="D11" s="6" t="s">
        <v>20</v>
      </c>
      <c r="E11" s="6" t="s">
        <v>37</v>
      </c>
      <c r="F11" s="50">
        <v>46136.666666666664</v>
      </c>
      <c r="G11" s="11">
        <f>IFERROR(VLOOKUP(B11,'Client Database'!B:G,6,0),"")</f>
        <v>70</v>
      </c>
      <c r="H11" s="26">
        <v>46130.477824074071</v>
      </c>
    </row>
    <row r="12" spans="1:8" ht="18" customHeight="1" x14ac:dyDescent="0.35">
      <c r="A12" s="13" t="s">
        <v>470</v>
      </c>
      <c r="B12" s="3" t="s">
        <v>38</v>
      </c>
      <c r="C12" s="4" t="s">
        <v>39</v>
      </c>
      <c r="D12" s="2" t="s">
        <v>20</v>
      </c>
      <c r="E12" s="2" t="s">
        <v>40</v>
      </c>
      <c r="F12" s="49">
        <v>46137.3125</v>
      </c>
      <c r="G12" s="10">
        <f>IFERROR(VLOOKUP(B12,'Client Database'!B:G,6,0),"")</f>
        <v>70</v>
      </c>
      <c r="H12" s="37">
        <v>46130.477824074071</v>
      </c>
    </row>
    <row r="13" spans="1:8" ht="18" customHeight="1" x14ac:dyDescent="0.35">
      <c r="A13" s="13" t="s">
        <v>470</v>
      </c>
      <c r="B13" s="7" t="s">
        <v>41</v>
      </c>
      <c r="C13" s="8" t="s">
        <v>42</v>
      </c>
      <c r="D13" s="6" t="s">
        <v>20</v>
      </c>
      <c r="E13" s="6" t="s">
        <v>43</v>
      </c>
      <c r="F13" s="50">
        <v>46137.375</v>
      </c>
      <c r="G13" s="11">
        <f>IFERROR(VLOOKUP(B13,'Client Database'!B:G,6,0),"")</f>
        <v>120</v>
      </c>
      <c r="H13" s="26">
        <v>46130.477824074071</v>
      </c>
    </row>
    <row r="14" spans="1:8" ht="18" customHeight="1" x14ac:dyDescent="0.35">
      <c r="A14" s="13" t="s">
        <v>470</v>
      </c>
      <c r="B14" s="3" t="s">
        <v>44</v>
      </c>
      <c r="C14" s="4" t="s">
        <v>17</v>
      </c>
      <c r="D14" s="2" t="s">
        <v>20</v>
      </c>
      <c r="E14" s="2" t="s">
        <v>45</v>
      </c>
      <c r="F14" s="49">
        <v>46137.611111111109</v>
      </c>
      <c r="G14" s="10">
        <f>IFERROR(VLOOKUP(B14,'Client Database'!B:G,6,0),"")</f>
        <v>70</v>
      </c>
      <c r="H14" s="37">
        <v>46130.477824074071</v>
      </c>
    </row>
    <row r="15" spans="1:8" ht="18" customHeight="1" x14ac:dyDescent="0.35">
      <c r="A15" s="13" t="s">
        <v>470</v>
      </c>
      <c r="B15" s="7" t="s">
        <v>46</v>
      </c>
      <c r="C15" s="8" t="s">
        <v>47</v>
      </c>
      <c r="D15" s="6" t="s">
        <v>14</v>
      </c>
      <c r="E15" s="6"/>
      <c r="F15" s="50">
        <v>46137.472222222219</v>
      </c>
      <c r="G15" s="11">
        <f>IFERROR(VLOOKUP(B15,'Client Database'!B:G,6,0),"")</f>
        <v>130</v>
      </c>
      <c r="H15" s="26">
        <v>46130.477824074071</v>
      </c>
    </row>
    <row r="16" spans="1:8" ht="18" customHeight="1" x14ac:dyDescent="0.35">
      <c r="A16" s="13" t="s">
        <v>470</v>
      </c>
      <c r="B16" s="3" t="s">
        <v>48</v>
      </c>
      <c r="C16" s="4" t="s">
        <v>49</v>
      </c>
      <c r="D16" s="2" t="s">
        <v>20</v>
      </c>
      <c r="E16" s="2" t="s">
        <v>50</v>
      </c>
      <c r="F16" s="49">
        <v>46137.5625</v>
      </c>
      <c r="G16" s="10">
        <f>IFERROR(VLOOKUP(B16,'Client Database'!B:G,6,0),"")</f>
        <v>70</v>
      </c>
      <c r="H16" s="37">
        <v>46130.477824074071</v>
      </c>
    </row>
    <row r="17" spans="1:8" ht="18" customHeight="1" x14ac:dyDescent="0.35">
      <c r="A17" s="13" t="s">
        <v>470</v>
      </c>
      <c r="B17" s="7" t="s">
        <v>51</v>
      </c>
      <c r="C17" s="8" t="s">
        <v>52</v>
      </c>
      <c r="D17" s="6" t="s">
        <v>14</v>
      </c>
      <c r="E17" s="6"/>
      <c r="F17" s="50">
        <v>46138.375</v>
      </c>
      <c r="G17" s="11">
        <f>IFERROR(VLOOKUP(B17,'Client Database'!B:G,6,0),"")</f>
        <v>50</v>
      </c>
      <c r="H17" s="26">
        <v>46130.477824074071</v>
      </c>
    </row>
    <row r="18" spans="1:8" ht="18" customHeight="1" x14ac:dyDescent="0.35">
      <c r="A18" s="13" t="s">
        <v>470</v>
      </c>
      <c r="B18" s="3" t="s">
        <v>53</v>
      </c>
      <c r="C18" s="4" t="s">
        <v>54</v>
      </c>
      <c r="D18" s="2" t="s">
        <v>20</v>
      </c>
      <c r="E18" s="2" t="s">
        <v>55</v>
      </c>
      <c r="F18" s="49">
        <v>46138.427083333336</v>
      </c>
      <c r="G18" s="10">
        <f>IFERROR(VLOOKUP(B18,'Client Database'!B:G,6,0),"")</f>
        <v>130</v>
      </c>
      <c r="H18" s="37">
        <v>46130.477824074071</v>
      </c>
    </row>
    <row r="19" spans="1:8" ht="18" customHeight="1" x14ac:dyDescent="0.35">
      <c r="A19" s="13" t="s">
        <v>470</v>
      </c>
      <c r="B19" s="7" t="s">
        <v>56</v>
      </c>
      <c r="C19" s="8" t="s">
        <v>57</v>
      </c>
      <c r="D19" s="6" t="s">
        <v>20</v>
      </c>
      <c r="E19" s="6" t="s">
        <v>58</v>
      </c>
      <c r="F19" s="50">
        <v>46138.583333333336</v>
      </c>
      <c r="G19" s="11">
        <f>IFERROR(VLOOKUP(B19,'Client Database'!B:G,6,0),"")</f>
        <v>70</v>
      </c>
      <c r="H19" s="26">
        <v>46130.477824074071</v>
      </c>
    </row>
    <row r="20" spans="1:8" ht="18" customHeight="1" x14ac:dyDescent="0.35">
      <c r="A20" s="13" t="s">
        <v>470</v>
      </c>
      <c r="B20" s="3" t="s">
        <v>473</v>
      </c>
      <c r="C20" s="4" t="s">
        <v>60</v>
      </c>
      <c r="D20" s="2" t="s">
        <v>20</v>
      </c>
      <c r="E20" s="2" t="s">
        <v>61</v>
      </c>
      <c r="F20" s="49">
        <v>46142.666666666664</v>
      </c>
      <c r="G20" s="10">
        <f>IFERROR(VLOOKUP(B20,'Client Database'!B:G,6,0),"")</f>
        <v>60</v>
      </c>
      <c r="H20" s="37">
        <v>46130.477824074071</v>
      </c>
    </row>
    <row r="21" spans="1:8" ht="18" customHeight="1" x14ac:dyDescent="0.35">
      <c r="A21" s="13" t="s">
        <v>470</v>
      </c>
      <c r="B21" s="7" t="s">
        <v>63</v>
      </c>
      <c r="C21" s="8" t="s">
        <v>64</v>
      </c>
      <c r="D21" s="6" t="s">
        <v>14</v>
      </c>
      <c r="E21" s="6"/>
      <c r="F21" s="50">
        <v>46058.666666666664</v>
      </c>
      <c r="G21" s="11">
        <f>IFERROR(VLOOKUP(B21,'Client Database'!B:G,6,0),"")</f>
        <v>70</v>
      </c>
      <c r="H21" s="26">
        <v>46130.477824074071</v>
      </c>
    </row>
    <row r="22" spans="1:8" ht="18" customHeight="1" x14ac:dyDescent="0.35">
      <c r="A22" s="13" t="s">
        <v>470</v>
      </c>
      <c r="B22" s="3" t="s">
        <v>65</v>
      </c>
      <c r="C22" s="4" t="s">
        <v>66</v>
      </c>
      <c r="D22" s="2" t="s">
        <v>20</v>
      </c>
      <c r="E22" s="2" t="s">
        <v>67</v>
      </c>
      <c r="F22" s="49">
        <v>46086.53125</v>
      </c>
      <c r="G22" s="10">
        <f>IFERROR(VLOOKUP(B22,'Client Database'!B:G,6,0),"")</f>
        <v>70</v>
      </c>
      <c r="H22" s="37">
        <v>46130.477824074071</v>
      </c>
    </row>
    <row r="23" spans="1:8" x14ac:dyDescent="0.35">
      <c r="A23" s="28" t="s">
        <v>470</v>
      </c>
      <c r="B23" s="3" t="s">
        <v>12</v>
      </c>
      <c r="C23" s="4" t="s">
        <v>13</v>
      </c>
      <c r="D23" s="2" t="s">
        <v>14</v>
      </c>
      <c r="F23" s="42">
        <v>46133.645833333336</v>
      </c>
      <c r="G23" s="5">
        <v>55</v>
      </c>
      <c r="H23" s="32">
        <v>46130.477824074071</v>
      </c>
    </row>
    <row r="24" spans="1:8" x14ac:dyDescent="0.35">
      <c r="A24" s="28" t="s">
        <v>470</v>
      </c>
      <c r="B24" s="3" t="s">
        <v>474</v>
      </c>
      <c r="C24" s="4" t="s">
        <v>477</v>
      </c>
      <c r="D24" s="2" t="s">
        <v>20</v>
      </c>
      <c r="E24" s="2" t="s">
        <v>478</v>
      </c>
      <c r="F24" s="42">
        <v>46086.645833333336</v>
      </c>
      <c r="G24" s="5">
        <v>60</v>
      </c>
      <c r="H24" s="32">
        <v>46130.477824074071</v>
      </c>
    </row>
    <row r="25" spans="1:8" x14ac:dyDescent="0.35">
      <c r="A25" s="28" t="s">
        <v>470</v>
      </c>
      <c r="B25" s="3" t="s">
        <v>479</v>
      </c>
      <c r="C25" s="4" t="s">
        <v>480</v>
      </c>
      <c r="D25" s="2" t="s">
        <v>20</v>
      </c>
      <c r="E25" s="2" t="s">
        <v>481</v>
      </c>
      <c r="F25" s="42">
        <v>46137.659722222219</v>
      </c>
      <c r="G25" s="5">
        <v>70</v>
      </c>
      <c r="H25" s="32">
        <v>46130.477824074071</v>
      </c>
    </row>
  </sheetData>
  <mergeCells count="5">
    <mergeCell ref="A2:H2"/>
    <mergeCell ref="D3:F3"/>
    <mergeCell ref="A3:C3"/>
    <mergeCell ref="A1:H1"/>
    <mergeCell ref="G3:H3"/>
  </mergeCells>
  <dataValidations count="2">
    <dataValidation type="list" sqref="D3:F3" xr:uid="{00000000-0002-0000-0400-000000000000}">
      <formula1>"Session Confirmation,Payment Reminder,Overdue Payment Reminder"</formula1>
      <formula2>0</formula2>
    </dataValidation>
    <dataValidation type="list" sqref="A5:A25" xr:uid="{00000000-0002-0000-0400-000001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500"/>
  <sheetViews>
    <sheetView zoomScale="60" zoomScaleNormal="100" workbookViewId="0">
      <pane ySplit="3" topLeftCell="A4" activePane="bottomLeft" state="frozen"/>
      <selection pane="bottomLeft" activeCell="D24" sqref="A4:D24"/>
    </sheetView>
  </sheetViews>
  <sheetFormatPr defaultColWidth="8.6328125" defaultRowHeight="14.5" x14ac:dyDescent="0.35"/>
  <cols>
    <col min="1" max="1" width="20" customWidth="1"/>
    <col min="2" max="2" width="22" customWidth="1"/>
    <col min="3" max="3" width="20" customWidth="1"/>
    <col min="4" max="4" width="70" customWidth="1"/>
  </cols>
  <sheetData>
    <row r="1" spans="1:4" ht="30" customHeight="1" x14ac:dyDescent="0.35">
      <c r="A1" s="55" t="s">
        <v>84</v>
      </c>
      <c r="B1" s="56"/>
      <c r="C1" s="56"/>
      <c r="D1" s="56"/>
    </row>
    <row r="2" spans="1:4" ht="19.5" customHeight="1" x14ac:dyDescent="0.35">
      <c r="A2" s="58" t="s">
        <v>85</v>
      </c>
      <c r="B2" s="56"/>
      <c r="C2" s="56"/>
      <c r="D2" s="56"/>
    </row>
    <row r="3" spans="1:4" ht="27.75" customHeight="1" x14ac:dyDescent="0.35">
      <c r="A3" s="12" t="s">
        <v>2</v>
      </c>
      <c r="B3" s="12" t="s">
        <v>4</v>
      </c>
      <c r="C3" s="12" t="s">
        <v>86</v>
      </c>
      <c r="D3" s="12" t="s">
        <v>87</v>
      </c>
    </row>
    <row r="4" spans="1:4" ht="75" customHeight="1" x14ac:dyDescent="0.35">
      <c r="A4" s="25"/>
      <c r="B4" s="25"/>
      <c r="C4" s="25"/>
      <c r="D4" s="27"/>
    </row>
    <row r="5" spans="1:4" ht="75" customHeight="1" x14ac:dyDescent="0.35">
      <c r="A5" s="35"/>
      <c r="B5" s="35"/>
      <c r="C5" s="35"/>
      <c r="D5" s="36"/>
    </row>
    <row r="6" spans="1:4" ht="75" customHeight="1" x14ac:dyDescent="0.35">
      <c r="A6" s="38"/>
      <c r="B6" s="38"/>
      <c r="C6" s="38"/>
      <c r="D6" s="39"/>
    </row>
    <row r="7" spans="1:4" ht="75" customHeight="1" x14ac:dyDescent="0.35">
      <c r="A7" s="35"/>
      <c r="B7" s="35"/>
      <c r="C7" s="35"/>
      <c r="D7" s="36"/>
    </row>
    <row r="8" spans="1:4" ht="75" customHeight="1" x14ac:dyDescent="0.35">
      <c r="A8" s="38"/>
      <c r="B8" s="38"/>
      <c r="C8" s="38"/>
      <c r="D8" s="39"/>
    </row>
    <row r="9" spans="1:4" ht="75" customHeight="1" x14ac:dyDescent="0.35">
      <c r="A9" s="30"/>
      <c r="B9" s="30"/>
      <c r="C9" s="30"/>
      <c r="D9" s="31"/>
    </row>
    <row r="10" spans="1:4" ht="75" customHeight="1" x14ac:dyDescent="0.35">
      <c r="A10" s="38"/>
      <c r="B10" s="38"/>
      <c r="C10" s="38"/>
      <c r="D10" s="39"/>
    </row>
    <row r="11" spans="1:4" ht="75" customHeight="1" x14ac:dyDescent="0.35">
      <c r="A11" s="35"/>
      <c r="B11" s="35"/>
      <c r="C11" s="35"/>
      <c r="D11" s="36"/>
    </row>
    <row r="12" spans="1:4" ht="75" customHeight="1" x14ac:dyDescent="0.35">
      <c r="A12" s="38"/>
      <c r="B12" s="38"/>
      <c r="C12" s="38"/>
      <c r="D12" s="39"/>
    </row>
    <row r="13" spans="1:4" ht="75" customHeight="1" x14ac:dyDescent="0.35">
      <c r="A13" s="35"/>
      <c r="B13" s="35"/>
      <c r="C13" s="35"/>
      <c r="D13" s="36"/>
    </row>
    <row r="14" spans="1:4" ht="75" customHeight="1" x14ac:dyDescent="0.35">
      <c r="A14" s="40"/>
      <c r="B14" s="40"/>
      <c r="C14" s="40"/>
      <c r="D14" s="41"/>
    </row>
    <row r="15" spans="1:4" ht="75" customHeight="1" x14ac:dyDescent="0.35">
      <c r="A15" s="35"/>
      <c r="B15" s="35"/>
      <c r="C15" s="35"/>
      <c r="D15" s="36"/>
    </row>
    <row r="16" spans="1:4" ht="75" customHeight="1" x14ac:dyDescent="0.35">
      <c r="A16" s="40"/>
      <c r="B16" s="40"/>
      <c r="C16" s="40"/>
      <c r="D16" s="41"/>
    </row>
    <row r="17" spans="1:4" ht="75" customHeight="1" x14ac:dyDescent="0.35">
      <c r="A17" s="35"/>
      <c r="B17" s="35"/>
      <c r="C17" s="35"/>
      <c r="D17" s="36"/>
    </row>
    <row r="18" spans="1:4" ht="75" customHeight="1" x14ac:dyDescent="0.35">
      <c r="A18" s="38"/>
      <c r="B18" s="38"/>
      <c r="C18" s="38"/>
      <c r="D18" s="39"/>
    </row>
    <row r="19" spans="1:4" ht="75" customHeight="1" x14ac:dyDescent="0.35">
      <c r="A19" s="35"/>
      <c r="B19" s="35"/>
      <c r="C19" s="35"/>
      <c r="D19" s="36"/>
    </row>
    <row r="20" spans="1:4" ht="75" customHeight="1" x14ac:dyDescent="0.35">
      <c r="A20" s="40"/>
      <c r="B20" s="40"/>
      <c r="C20" s="40"/>
      <c r="D20" s="41"/>
    </row>
    <row r="21" spans="1:4" ht="75" customHeight="1" x14ac:dyDescent="0.35">
      <c r="A21" s="35"/>
      <c r="B21" s="35"/>
      <c r="C21" s="35"/>
      <c r="D21" s="36"/>
    </row>
    <row r="22" spans="1:4" ht="75" customHeight="1" x14ac:dyDescent="0.35">
      <c r="A22" s="40"/>
      <c r="B22" s="40"/>
      <c r="C22" s="40"/>
      <c r="D22" s="41"/>
    </row>
    <row r="23" spans="1:4" ht="75" customHeight="1" x14ac:dyDescent="0.35">
      <c r="A23" s="35"/>
      <c r="B23" s="35"/>
      <c r="C23" s="35"/>
      <c r="D23" s="36"/>
    </row>
    <row r="24" spans="1:4" ht="75" customHeight="1" x14ac:dyDescent="0.35">
      <c r="A24" s="47"/>
      <c r="B24" s="47"/>
      <c r="C24" s="47"/>
      <c r="D24" s="48"/>
    </row>
    <row r="25" spans="1:4" ht="60" customHeight="1" x14ac:dyDescent="0.35"/>
    <row r="26" spans="1:4" ht="60" customHeight="1" x14ac:dyDescent="0.35"/>
    <row r="27" spans="1:4" ht="60" customHeight="1" x14ac:dyDescent="0.35"/>
    <row r="28" spans="1:4" ht="60" customHeight="1" x14ac:dyDescent="0.35"/>
    <row r="29" spans="1:4" ht="60" customHeight="1" x14ac:dyDescent="0.35"/>
    <row r="30" spans="1:4" ht="60" customHeight="1" x14ac:dyDescent="0.35"/>
    <row r="31" spans="1:4" ht="60" customHeight="1" x14ac:dyDescent="0.35"/>
    <row r="32" spans="1:4" ht="60" customHeight="1" x14ac:dyDescent="0.35"/>
    <row r="33" ht="60" customHeight="1" x14ac:dyDescent="0.35"/>
    <row r="34" ht="60" customHeight="1" x14ac:dyDescent="0.35"/>
    <row r="35" ht="60" customHeight="1" x14ac:dyDescent="0.35"/>
    <row r="36" ht="60" customHeight="1" x14ac:dyDescent="0.35"/>
    <row r="37" ht="60" customHeight="1" x14ac:dyDescent="0.35"/>
    <row r="38" ht="60" customHeight="1" x14ac:dyDescent="0.35"/>
    <row r="39" ht="60" customHeight="1" x14ac:dyDescent="0.35"/>
    <row r="40" ht="60" customHeight="1" x14ac:dyDescent="0.35"/>
    <row r="41" ht="60" customHeight="1" x14ac:dyDescent="0.35"/>
    <row r="42" ht="60" customHeight="1" x14ac:dyDescent="0.35"/>
    <row r="43" ht="60" customHeight="1" x14ac:dyDescent="0.35"/>
    <row r="44" ht="60" customHeight="1" x14ac:dyDescent="0.35"/>
    <row r="45" ht="60" customHeight="1" x14ac:dyDescent="0.35"/>
    <row r="46" ht="60" customHeight="1" x14ac:dyDescent="0.35"/>
    <row r="47" ht="60" customHeight="1" x14ac:dyDescent="0.35"/>
    <row r="48" ht="60" customHeight="1" x14ac:dyDescent="0.35"/>
    <row r="49" ht="60" customHeight="1" x14ac:dyDescent="0.35"/>
    <row r="50" ht="60" customHeight="1" x14ac:dyDescent="0.35"/>
    <row r="51" ht="60" customHeight="1" x14ac:dyDescent="0.35"/>
    <row r="52" ht="60" customHeight="1" x14ac:dyDescent="0.35"/>
    <row r="53" ht="60" customHeight="1" x14ac:dyDescent="0.35"/>
    <row r="54" ht="60" customHeight="1" x14ac:dyDescent="0.35"/>
    <row r="55" ht="60" customHeight="1" x14ac:dyDescent="0.35"/>
    <row r="56" ht="60" customHeight="1" x14ac:dyDescent="0.35"/>
    <row r="57" ht="60" customHeight="1" x14ac:dyDescent="0.35"/>
    <row r="58" ht="60" customHeight="1" x14ac:dyDescent="0.35"/>
    <row r="59" ht="60" customHeight="1" x14ac:dyDescent="0.35"/>
    <row r="60" ht="60" customHeight="1" x14ac:dyDescent="0.35"/>
    <row r="61" ht="60" customHeight="1" x14ac:dyDescent="0.35"/>
    <row r="62" ht="60" customHeight="1" x14ac:dyDescent="0.35"/>
    <row r="63" ht="60" customHeight="1" x14ac:dyDescent="0.35"/>
    <row r="64" ht="60" customHeight="1" x14ac:dyDescent="0.35"/>
    <row r="65" ht="60" customHeight="1" x14ac:dyDescent="0.35"/>
    <row r="66" ht="60" customHeight="1" x14ac:dyDescent="0.35"/>
    <row r="67" ht="60" customHeight="1" x14ac:dyDescent="0.35"/>
    <row r="68" ht="60" customHeight="1" x14ac:dyDescent="0.35"/>
    <row r="69" ht="60" customHeight="1" x14ac:dyDescent="0.35"/>
    <row r="70" ht="60" customHeight="1" x14ac:dyDescent="0.35"/>
    <row r="71" ht="60" customHeight="1" x14ac:dyDescent="0.35"/>
    <row r="72" ht="60" customHeight="1" x14ac:dyDescent="0.35"/>
    <row r="73" ht="60" customHeight="1" x14ac:dyDescent="0.35"/>
    <row r="74" ht="60" customHeight="1" x14ac:dyDescent="0.35"/>
    <row r="75" ht="60" customHeight="1" x14ac:dyDescent="0.35"/>
    <row r="76" ht="60" customHeight="1" x14ac:dyDescent="0.35"/>
    <row r="77" ht="60" customHeight="1" x14ac:dyDescent="0.35"/>
    <row r="78" ht="60" customHeight="1" x14ac:dyDescent="0.35"/>
    <row r="79" ht="60" customHeight="1" x14ac:dyDescent="0.35"/>
    <row r="80" ht="60" customHeight="1" x14ac:dyDescent="0.35"/>
    <row r="81" ht="60" customHeight="1" x14ac:dyDescent="0.35"/>
    <row r="82" ht="60" customHeight="1" x14ac:dyDescent="0.35"/>
    <row r="83" ht="60" customHeight="1" x14ac:dyDescent="0.35"/>
    <row r="84" ht="60" customHeight="1" x14ac:dyDescent="0.35"/>
    <row r="85" ht="60" customHeight="1" x14ac:dyDescent="0.35"/>
    <row r="86" ht="60" customHeight="1" x14ac:dyDescent="0.35"/>
    <row r="87" ht="60" customHeight="1" x14ac:dyDescent="0.35"/>
    <row r="88" ht="60" customHeight="1" x14ac:dyDescent="0.35"/>
    <row r="89" ht="60" customHeight="1" x14ac:dyDescent="0.35"/>
    <row r="90" ht="60" customHeight="1" x14ac:dyDescent="0.35"/>
    <row r="91" ht="60" customHeight="1" x14ac:dyDescent="0.35"/>
    <row r="92" ht="60" customHeight="1" x14ac:dyDescent="0.35"/>
    <row r="93" ht="60" customHeight="1" x14ac:dyDescent="0.35"/>
    <row r="94" ht="60" customHeight="1" x14ac:dyDescent="0.35"/>
    <row r="95" ht="60" customHeight="1" x14ac:dyDescent="0.35"/>
    <row r="96" ht="60" customHeight="1" x14ac:dyDescent="0.35"/>
    <row r="97" ht="60" customHeight="1" x14ac:dyDescent="0.35"/>
    <row r="98" ht="60" customHeight="1" x14ac:dyDescent="0.35"/>
    <row r="99" ht="60" customHeight="1" x14ac:dyDescent="0.35"/>
    <row r="100" ht="60" customHeight="1" x14ac:dyDescent="0.35"/>
    <row r="101" ht="60" customHeight="1" x14ac:dyDescent="0.35"/>
    <row r="102" ht="60" customHeight="1" x14ac:dyDescent="0.35"/>
    <row r="103" ht="60" customHeight="1" x14ac:dyDescent="0.35"/>
    <row r="104" ht="60" customHeight="1" x14ac:dyDescent="0.35"/>
    <row r="105" ht="60" customHeight="1" x14ac:dyDescent="0.35"/>
    <row r="106" ht="60" customHeight="1" x14ac:dyDescent="0.35"/>
    <row r="107" ht="60" customHeight="1" x14ac:dyDescent="0.35"/>
    <row r="108" ht="60" customHeight="1" x14ac:dyDescent="0.35"/>
    <row r="109" ht="60" customHeight="1" x14ac:dyDescent="0.35"/>
    <row r="110" ht="60" customHeight="1" x14ac:dyDescent="0.35"/>
    <row r="111" ht="60" customHeight="1" x14ac:dyDescent="0.35"/>
    <row r="112" ht="60" customHeight="1" x14ac:dyDescent="0.35"/>
    <row r="113" ht="60" customHeight="1" x14ac:dyDescent="0.35"/>
    <row r="114" ht="60" customHeight="1" x14ac:dyDescent="0.35"/>
    <row r="115" ht="60" customHeight="1" x14ac:dyDescent="0.35"/>
    <row r="116" ht="60" customHeight="1" x14ac:dyDescent="0.35"/>
    <row r="117" ht="60" customHeight="1" x14ac:dyDescent="0.35"/>
    <row r="118" ht="60" customHeight="1" x14ac:dyDescent="0.35"/>
    <row r="119" ht="60" customHeight="1" x14ac:dyDescent="0.35"/>
    <row r="120" ht="60" customHeight="1" x14ac:dyDescent="0.35"/>
    <row r="121" ht="60" customHeight="1" x14ac:dyDescent="0.35"/>
    <row r="122" ht="60" customHeight="1" x14ac:dyDescent="0.35"/>
    <row r="123" ht="60" customHeight="1" x14ac:dyDescent="0.35"/>
    <row r="124" ht="60" customHeight="1" x14ac:dyDescent="0.35"/>
    <row r="125" ht="60" customHeight="1" x14ac:dyDescent="0.35"/>
    <row r="126" ht="60" customHeight="1" x14ac:dyDescent="0.35"/>
    <row r="127" ht="60" customHeight="1" x14ac:dyDescent="0.35"/>
    <row r="128" ht="60" customHeight="1" x14ac:dyDescent="0.35"/>
    <row r="129" ht="60" customHeight="1" x14ac:dyDescent="0.35"/>
    <row r="130" ht="60" customHeight="1" x14ac:dyDescent="0.35"/>
    <row r="131" ht="60" customHeight="1" x14ac:dyDescent="0.35"/>
    <row r="132" ht="60" customHeight="1" x14ac:dyDescent="0.35"/>
    <row r="133" ht="60" customHeight="1" x14ac:dyDescent="0.35"/>
    <row r="134" ht="60" customHeight="1" x14ac:dyDescent="0.35"/>
    <row r="135" ht="60" customHeight="1" x14ac:dyDescent="0.35"/>
    <row r="136" ht="60" customHeight="1" x14ac:dyDescent="0.35"/>
    <row r="137" ht="60" customHeight="1" x14ac:dyDescent="0.35"/>
    <row r="138" ht="60" customHeight="1" x14ac:dyDescent="0.35"/>
    <row r="139" ht="60" customHeight="1" x14ac:dyDescent="0.35"/>
    <row r="140" ht="60" customHeight="1" x14ac:dyDescent="0.35"/>
    <row r="141" ht="60" customHeight="1" x14ac:dyDescent="0.35"/>
    <row r="142" ht="60" customHeight="1" x14ac:dyDescent="0.35"/>
    <row r="143" ht="60" customHeight="1" x14ac:dyDescent="0.35"/>
    <row r="144" ht="60" customHeight="1" x14ac:dyDescent="0.35"/>
    <row r="145" ht="60" customHeight="1" x14ac:dyDescent="0.35"/>
    <row r="146" ht="60" customHeight="1" x14ac:dyDescent="0.35"/>
    <row r="147" ht="60" customHeight="1" x14ac:dyDescent="0.35"/>
    <row r="148" ht="60" customHeight="1" x14ac:dyDescent="0.35"/>
    <row r="149" ht="60" customHeight="1" x14ac:dyDescent="0.35"/>
    <row r="150" ht="60" customHeight="1" x14ac:dyDescent="0.35"/>
    <row r="151" ht="60" customHeight="1" x14ac:dyDescent="0.35"/>
    <row r="152" ht="60" customHeight="1" x14ac:dyDescent="0.35"/>
    <row r="153" ht="60" customHeight="1" x14ac:dyDescent="0.35"/>
    <row r="154" ht="60" customHeight="1" x14ac:dyDescent="0.35"/>
    <row r="155" ht="60" customHeight="1" x14ac:dyDescent="0.35"/>
    <row r="156" ht="60" customHeight="1" x14ac:dyDescent="0.35"/>
    <row r="157" ht="60" customHeight="1" x14ac:dyDescent="0.35"/>
    <row r="158" ht="60" customHeight="1" x14ac:dyDescent="0.35"/>
    <row r="159" ht="60" customHeight="1" x14ac:dyDescent="0.35"/>
    <row r="160" ht="60" customHeight="1" x14ac:dyDescent="0.35"/>
    <row r="161" ht="60" customHeight="1" x14ac:dyDescent="0.35"/>
    <row r="162" ht="60" customHeight="1" x14ac:dyDescent="0.35"/>
    <row r="163" ht="60" customHeight="1" x14ac:dyDescent="0.35"/>
    <row r="164" ht="60" customHeight="1" x14ac:dyDescent="0.35"/>
    <row r="165" ht="60" customHeight="1" x14ac:dyDescent="0.35"/>
    <row r="166" ht="60" customHeight="1" x14ac:dyDescent="0.35"/>
    <row r="167" ht="60" customHeight="1" x14ac:dyDescent="0.35"/>
    <row r="168" ht="60" customHeight="1" x14ac:dyDescent="0.35"/>
    <row r="169" ht="60" customHeight="1" x14ac:dyDescent="0.35"/>
    <row r="170" ht="60" customHeight="1" x14ac:dyDescent="0.35"/>
    <row r="171" ht="60" customHeight="1" x14ac:dyDescent="0.35"/>
    <row r="172" ht="60" customHeight="1" x14ac:dyDescent="0.35"/>
    <row r="173" ht="60" customHeight="1" x14ac:dyDescent="0.35"/>
    <row r="174" ht="60" customHeight="1" x14ac:dyDescent="0.35"/>
    <row r="175" ht="60" customHeight="1" x14ac:dyDescent="0.35"/>
    <row r="176" ht="60" customHeight="1" x14ac:dyDescent="0.35"/>
    <row r="177" ht="60" customHeight="1" x14ac:dyDescent="0.35"/>
    <row r="178" ht="60" customHeight="1" x14ac:dyDescent="0.35"/>
    <row r="179" ht="60" customHeight="1" x14ac:dyDescent="0.35"/>
    <row r="180" ht="60" customHeight="1" x14ac:dyDescent="0.35"/>
    <row r="181" ht="60" customHeight="1" x14ac:dyDescent="0.35"/>
    <row r="182" ht="60" customHeight="1" x14ac:dyDescent="0.35"/>
    <row r="183" ht="60" customHeight="1" x14ac:dyDescent="0.35"/>
    <row r="184" ht="60" customHeight="1" x14ac:dyDescent="0.35"/>
    <row r="185" ht="60" customHeight="1" x14ac:dyDescent="0.35"/>
    <row r="186" ht="60" customHeight="1" x14ac:dyDescent="0.35"/>
    <row r="187" ht="60" customHeight="1" x14ac:dyDescent="0.35"/>
    <row r="188" ht="60" customHeight="1" x14ac:dyDescent="0.35"/>
    <row r="189" ht="60" customHeight="1" x14ac:dyDescent="0.35"/>
    <row r="190" ht="60" customHeight="1" x14ac:dyDescent="0.35"/>
    <row r="191" ht="60" customHeight="1" x14ac:dyDescent="0.35"/>
    <row r="192" ht="60" customHeight="1" x14ac:dyDescent="0.35"/>
    <row r="193" ht="60" customHeight="1" x14ac:dyDescent="0.35"/>
    <row r="194" ht="60" customHeight="1" x14ac:dyDescent="0.35"/>
    <row r="195" ht="60" customHeight="1" x14ac:dyDescent="0.35"/>
    <row r="196" ht="60" customHeight="1" x14ac:dyDescent="0.35"/>
    <row r="197" ht="60" customHeight="1" x14ac:dyDescent="0.35"/>
    <row r="198" ht="60" customHeight="1" x14ac:dyDescent="0.35"/>
    <row r="199" ht="60" customHeight="1" x14ac:dyDescent="0.35"/>
    <row r="200" ht="60" customHeight="1" x14ac:dyDescent="0.35"/>
    <row r="201" ht="60" customHeight="1" x14ac:dyDescent="0.35"/>
    <row r="202" ht="60" customHeight="1" x14ac:dyDescent="0.35"/>
    <row r="203" ht="60" customHeight="1" x14ac:dyDescent="0.35"/>
    <row r="204" ht="60" customHeight="1" x14ac:dyDescent="0.35"/>
    <row r="205" ht="60" customHeight="1" x14ac:dyDescent="0.35"/>
    <row r="206" ht="60" customHeight="1" x14ac:dyDescent="0.35"/>
    <row r="207" ht="60" customHeight="1" x14ac:dyDescent="0.35"/>
    <row r="208" ht="60" customHeight="1" x14ac:dyDescent="0.35"/>
    <row r="209" ht="60" customHeight="1" x14ac:dyDescent="0.35"/>
    <row r="210" ht="60" customHeight="1" x14ac:dyDescent="0.35"/>
    <row r="211" ht="60" customHeight="1" x14ac:dyDescent="0.35"/>
    <row r="212" ht="60" customHeight="1" x14ac:dyDescent="0.35"/>
    <row r="213" ht="60" customHeight="1" x14ac:dyDescent="0.35"/>
    <row r="214" ht="60" customHeight="1" x14ac:dyDescent="0.35"/>
    <row r="215" ht="60" customHeight="1" x14ac:dyDescent="0.35"/>
    <row r="216" ht="60" customHeight="1" x14ac:dyDescent="0.35"/>
    <row r="217" ht="60" customHeight="1" x14ac:dyDescent="0.35"/>
    <row r="218" ht="60" customHeight="1" x14ac:dyDescent="0.35"/>
    <row r="219" ht="60" customHeight="1" x14ac:dyDescent="0.35"/>
    <row r="220" ht="60" customHeight="1" x14ac:dyDescent="0.35"/>
    <row r="221" ht="60" customHeight="1" x14ac:dyDescent="0.35"/>
    <row r="222" ht="60" customHeight="1" x14ac:dyDescent="0.35"/>
    <row r="223" ht="60" customHeight="1" x14ac:dyDescent="0.35"/>
    <row r="224" ht="60" customHeight="1" x14ac:dyDescent="0.35"/>
    <row r="225" ht="60" customHeight="1" x14ac:dyDescent="0.35"/>
    <row r="226" ht="60" customHeight="1" x14ac:dyDescent="0.35"/>
    <row r="227" ht="60" customHeight="1" x14ac:dyDescent="0.35"/>
    <row r="228" ht="60" customHeight="1" x14ac:dyDescent="0.35"/>
    <row r="229" ht="60" customHeight="1" x14ac:dyDescent="0.35"/>
    <row r="230" ht="60" customHeight="1" x14ac:dyDescent="0.35"/>
    <row r="231" ht="60" customHeight="1" x14ac:dyDescent="0.35"/>
    <row r="232" ht="60" customHeight="1" x14ac:dyDescent="0.35"/>
    <row r="233" ht="60" customHeight="1" x14ac:dyDescent="0.35"/>
    <row r="234" ht="60" customHeight="1" x14ac:dyDescent="0.35"/>
    <row r="235" ht="60" customHeight="1" x14ac:dyDescent="0.35"/>
    <row r="236" ht="60" customHeight="1" x14ac:dyDescent="0.35"/>
    <row r="237" ht="60" customHeight="1" x14ac:dyDescent="0.35"/>
    <row r="238" ht="60" customHeight="1" x14ac:dyDescent="0.35"/>
    <row r="239" ht="60" customHeight="1" x14ac:dyDescent="0.35"/>
    <row r="240" ht="60" customHeight="1" x14ac:dyDescent="0.35"/>
    <row r="241" ht="60" customHeight="1" x14ac:dyDescent="0.35"/>
    <row r="242" ht="60" customHeight="1" x14ac:dyDescent="0.35"/>
    <row r="243" ht="60" customHeight="1" x14ac:dyDescent="0.35"/>
    <row r="244" ht="60" customHeight="1" x14ac:dyDescent="0.35"/>
    <row r="245" ht="60" customHeight="1" x14ac:dyDescent="0.35"/>
    <row r="246" ht="60" customHeight="1" x14ac:dyDescent="0.35"/>
    <row r="247" ht="60" customHeight="1" x14ac:dyDescent="0.35"/>
    <row r="248" ht="60" customHeight="1" x14ac:dyDescent="0.35"/>
    <row r="249" ht="60" customHeight="1" x14ac:dyDescent="0.35"/>
    <row r="250" ht="60" customHeight="1" x14ac:dyDescent="0.35"/>
    <row r="251" ht="60" customHeight="1" x14ac:dyDescent="0.35"/>
    <row r="252" ht="60" customHeight="1" x14ac:dyDescent="0.35"/>
    <row r="253" ht="60" customHeight="1" x14ac:dyDescent="0.35"/>
    <row r="254" ht="60" customHeight="1" x14ac:dyDescent="0.35"/>
    <row r="255" ht="60" customHeight="1" x14ac:dyDescent="0.35"/>
    <row r="256" ht="60" customHeight="1" x14ac:dyDescent="0.35"/>
    <row r="257" ht="60" customHeight="1" x14ac:dyDescent="0.35"/>
    <row r="258" ht="60" customHeight="1" x14ac:dyDescent="0.35"/>
    <row r="259" ht="60" customHeight="1" x14ac:dyDescent="0.35"/>
    <row r="260" ht="60" customHeight="1" x14ac:dyDescent="0.35"/>
    <row r="261" ht="60" customHeight="1" x14ac:dyDescent="0.35"/>
    <row r="262" ht="60" customHeight="1" x14ac:dyDescent="0.35"/>
    <row r="263" ht="60" customHeight="1" x14ac:dyDescent="0.35"/>
    <row r="264" ht="60" customHeight="1" x14ac:dyDescent="0.35"/>
    <row r="265" ht="60" customHeight="1" x14ac:dyDescent="0.35"/>
    <row r="266" ht="60" customHeight="1" x14ac:dyDescent="0.35"/>
    <row r="267" ht="60" customHeight="1" x14ac:dyDescent="0.35"/>
    <row r="268" ht="60" customHeight="1" x14ac:dyDescent="0.35"/>
    <row r="269" ht="60" customHeight="1" x14ac:dyDescent="0.35"/>
    <row r="270" ht="60" customHeight="1" x14ac:dyDescent="0.35"/>
    <row r="271" ht="60" customHeight="1" x14ac:dyDescent="0.35"/>
    <row r="272" ht="60" customHeight="1" x14ac:dyDescent="0.35"/>
    <row r="273" ht="60" customHeight="1" x14ac:dyDescent="0.35"/>
    <row r="274" ht="60" customHeight="1" x14ac:dyDescent="0.35"/>
    <row r="275" ht="60" customHeight="1" x14ac:dyDescent="0.35"/>
    <row r="276" ht="60" customHeight="1" x14ac:dyDescent="0.35"/>
    <row r="277" ht="60" customHeight="1" x14ac:dyDescent="0.35"/>
    <row r="278" ht="60" customHeight="1" x14ac:dyDescent="0.35"/>
    <row r="279" ht="60" customHeight="1" x14ac:dyDescent="0.35"/>
    <row r="280" ht="60" customHeight="1" x14ac:dyDescent="0.35"/>
    <row r="281" ht="60" customHeight="1" x14ac:dyDescent="0.35"/>
    <row r="282" ht="60" customHeight="1" x14ac:dyDescent="0.35"/>
    <row r="283" ht="60" customHeight="1" x14ac:dyDescent="0.35"/>
    <row r="284" ht="60" customHeight="1" x14ac:dyDescent="0.35"/>
    <row r="285" ht="60" customHeight="1" x14ac:dyDescent="0.35"/>
    <row r="286" ht="60" customHeight="1" x14ac:dyDescent="0.35"/>
    <row r="287" ht="60" customHeight="1" x14ac:dyDescent="0.35"/>
    <row r="288" ht="60" customHeight="1" x14ac:dyDescent="0.35"/>
    <row r="289" ht="60" customHeight="1" x14ac:dyDescent="0.35"/>
    <row r="290" ht="60" customHeight="1" x14ac:dyDescent="0.35"/>
    <row r="291" ht="60" customHeight="1" x14ac:dyDescent="0.35"/>
    <row r="292" ht="60" customHeight="1" x14ac:dyDescent="0.35"/>
    <row r="293" ht="60" customHeight="1" x14ac:dyDescent="0.35"/>
    <row r="294" ht="60" customHeight="1" x14ac:dyDescent="0.35"/>
    <row r="295" ht="60" customHeight="1" x14ac:dyDescent="0.35"/>
    <row r="296" ht="60" customHeight="1" x14ac:dyDescent="0.35"/>
    <row r="297" ht="60" customHeight="1" x14ac:dyDescent="0.35"/>
    <row r="298" ht="60" customHeight="1" x14ac:dyDescent="0.35"/>
    <row r="299" ht="60" customHeight="1" x14ac:dyDescent="0.35"/>
    <row r="300" ht="60" customHeight="1" x14ac:dyDescent="0.35"/>
    <row r="301" ht="60" customHeight="1" x14ac:dyDescent="0.35"/>
    <row r="302" ht="60" customHeight="1" x14ac:dyDescent="0.35"/>
    <row r="303" ht="60" customHeight="1" x14ac:dyDescent="0.35"/>
    <row r="304" ht="60" customHeight="1" x14ac:dyDescent="0.35"/>
    <row r="305" ht="60" customHeight="1" x14ac:dyDescent="0.35"/>
    <row r="306" ht="60" customHeight="1" x14ac:dyDescent="0.35"/>
    <row r="307" ht="60" customHeight="1" x14ac:dyDescent="0.35"/>
    <row r="308" ht="60" customHeight="1" x14ac:dyDescent="0.35"/>
    <row r="309" ht="60" customHeight="1" x14ac:dyDescent="0.35"/>
    <row r="310" ht="60" customHeight="1" x14ac:dyDescent="0.35"/>
    <row r="311" ht="60" customHeight="1" x14ac:dyDescent="0.35"/>
    <row r="312" ht="60" customHeight="1" x14ac:dyDescent="0.35"/>
    <row r="313" ht="60" customHeight="1" x14ac:dyDescent="0.35"/>
    <row r="314" ht="60" customHeight="1" x14ac:dyDescent="0.35"/>
    <row r="315" ht="60" customHeight="1" x14ac:dyDescent="0.35"/>
    <row r="316" ht="60" customHeight="1" x14ac:dyDescent="0.35"/>
    <row r="317" ht="60" customHeight="1" x14ac:dyDescent="0.35"/>
    <row r="318" ht="60" customHeight="1" x14ac:dyDescent="0.35"/>
    <row r="319" ht="60" customHeight="1" x14ac:dyDescent="0.35"/>
    <row r="320" ht="60" customHeight="1" x14ac:dyDescent="0.35"/>
    <row r="321" ht="60" customHeight="1" x14ac:dyDescent="0.35"/>
    <row r="322" ht="60" customHeight="1" x14ac:dyDescent="0.35"/>
    <row r="323" ht="60" customHeight="1" x14ac:dyDescent="0.35"/>
    <row r="324" ht="60" customHeight="1" x14ac:dyDescent="0.35"/>
    <row r="325" ht="60" customHeight="1" x14ac:dyDescent="0.35"/>
    <row r="326" ht="60" customHeight="1" x14ac:dyDescent="0.35"/>
    <row r="327" ht="60" customHeight="1" x14ac:dyDescent="0.35"/>
    <row r="328" ht="60" customHeight="1" x14ac:dyDescent="0.35"/>
    <row r="329" ht="60" customHeight="1" x14ac:dyDescent="0.35"/>
    <row r="330" ht="60" customHeight="1" x14ac:dyDescent="0.35"/>
    <row r="331" ht="60" customHeight="1" x14ac:dyDescent="0.35"/>
    <row r="332" ht="60" customHeight="1" x14ac:dyDescent="0.35"/>
    <row r="333" ht="60" customHeight="1" x14ac:dyDescent="0.35"/>
    <row r="334" ht="60" customHeight="1" x14ac:dyDescent="0.35"/>
    <row r="335" ht="60" customHeight="1" x14ac:dyDescent="0.35"/>
    <row r="336" ht="60" customHeight="1" x14ac:dyDescent="0.35"/>
    <row r="337" ht="60" customHeight="1" x14ac:dyDescent="0.35"/>
    <row r="338" ht="60" customHeight="1" x14ac:dyDescent="0.35"/>
    <row r="339" ht="60" customHeight="1" x14ac:dyDescent="0.35"/>
    <row r="340" ht="60" customHeight="1" x14ac:dyDescent="0.35"/>
    <row r="341" ht="60" customHeight="1" x14ac:dyDescent="0.35"/>
    <row r="342" ht="60" customHeight="1" x14ac:dyDescent="0.35"/>
    <row r="343" ht="60" customHeight="1" x14ac:dyDescent="0.35"/>
    <row r="344" ht="60" customHeight="1" x14ac:dyDescent="0.35"/>
    <row r="345" ht="60" customHeight="1" x14ac:dyDescent="0.35"/>
    <row r="346" ht="60" customHeight="1" x14ac:dyDescent="0.35"/>
    <row r="347" ht="60" customHeight="1" x14ac:dyDescent="0.35"/>
    <row r="348" ht="60" customHeight="1" x14ac:dyDescent="0.35"/>
    <row r="349" ht="60" customHeight="1" x14ac:dyDescent="0.35"/>
    <row r="350" ht="60" customHeight="1" x14ac:dyDescent="0.35"/>
    <row r="351" ht="60" customHeight="1" x14ac:dyDescent="0.35"/>
    <row r="352" ht="60" customHeight="1" x14ac:dyDescent="0.35"/>
    <row r="353" ht="60" customHeight="1" x14ac:dyDescent="0.35"/>
    <row r="354" ht="60" customHeight="1" x14ac:dyDescent="0.35"/>
    <row r="355" ht="60" customHeight="1" x14ac:dyDescent="0.35"/>
    <row r="356" ht="60" customHeight="1" x14ac:dyDescent="0.35"/>
    <row r="357" ht="60" customHeight="1" x14ac:dyDescent="0.35"/>
    <row r="358" ht="60" customHeight="1" x14ac:dyDescent="0.35"/>
    <row r="359" ht="60" customHeight="1" x14ac:dyDescent="0.35"/>
    <row r="360" ht="60" customHeight="1" x14ac:dyDescent="0.35"/>
    <row r="361" ht="60" customHeight="1" x14ac:dyDescent="0.35"/>
    <row r="362" ht="60" customHeight="1" x14ac:dyDescent="0.35"/>
    <row r="363" ht="60" customHeight="1" x14ac:dyDescent="0.35"/>
    <row r="364" ht="60" customHeight="1" x14ac:dyDescent="0.35"/>
    <row r="365" ht="60" customHeight="1" x14ac:dyDescent="0.35"/>
    <row r="366" ht="60" customHeight="1" x14ac:dyDescent="0.35"/>
    <row r="367" ht="60" customHeight="1" x14ac:dyDescent="0.35"/>
    <row r="368" ht="60" customHeight="1" x14ac:dyDescent="0.35"/>
    <row r="369" ht="60" customHeight="1" x14ac:dyDescent="0.35"/>
    <row r="370" ht="60" customHeight="1" x14ac:dyDescent="0.35"/>
    <row r="371" ht="60" customHeight="1" x14ac:dyDescent="0.35"/>
    <row r="372" ht="60" customHeight="1" x14ac:dyDescent="0.35"/>
    <row r="373" ht="60" customHeight="1" x14ac:dyDescent="0.35"/>
    <row r="374" ht="60" customHeight="1" x14ac:dyDescent="0.35"/>
    <row r="375" ht="60" customHeight="1" x14ac:dyDescent="0.35"/>
    <row r="376" ht="60" customHeight="1" x14ac:dyDescent="0.35"/>
    <row r="377" ht="60" customHeight="1" x14ac:dyDescent="0.35"/>
    <row r="378" ht="60" customHeight="1" x14ac:dyDescent="0.35"/>
    <row r="379" ht="60" customHeight="1" x14ac:dyDescent="0.35"/>
    <row r="380" ht="60" customHeight="1" x14ac:dyDescent="0.35"/>
    <row r="381" ht="60" customHeight="1" x14ac:dyDescent="0.35"/>
    <row r="382" ht="60" customHeight="1" x14ac:dyDescent="0.35"/>
    <row r="383" ht="60" customHeight="1" x14ac:dyDescent="0.35"/>
    <row r="384" ht="60" customHeight="1" x14ac:dyDescent="0.35"/>
    <row r="385" ht="60" customHeight="1" x14ac:dyDescent="0.35"/>
    <row r="386" ht="60" customHeight="1" x14ac:dyDescent="0.35"/>
    <row r="387" ht="60" customHeight="1" x14ac:dyDescent="0.35"/>
    <row r="388" ht="60" customHeight="1" x14ac:dyDescent="0.35"/>
    <row r="389" ht="60" customHeight="1" x14ac:dyDescent="0.35"/>
    <row r="390" ht="60" customHeight="1" x14ac:dyDescent="0.35"/>
    <row r="391" ht="60" customHeight="1" x14ac:dyDescent="0.35"/>
    <row r="392" ht="60" customHeight="1" x14ac:dyDescent="0.35"/>
    <row r="393" ht="60" customHeight="1" x14ac:dyDescent="0.35"/>
    <row r="394" ht="60" customHeight="1" x14ac:dyDescent="0.35"/>
    <row r="395" ht="60" customHeight="1" x14ac:dyDescent="0.35"/>
    <row r="396" ht="60" customHeight="1" x14ac:dyDescent="0.35"/>
    <row r="397" ht="60" customHeight="1" x14ac:dyDescent="0.35"/>
    <row r="398" ht="60" customHeight="1" x14ac:dyDescent="0.35"/>
    <row r="399" ht="60" customHeight="1" x14ac:dyDescent="0.35"/>
    <row r="400" ht="60" customHeight="1" x14ac:dyDescent="0.35"/>
    <row r="401" ht="60" customHeight="1" x14ac:dyDescent="0.35"/>
    <row r="402" ht="60" customHeight="1" x14ac:dyDescent="0.35"/>
    <row r="403" ht="60" customHeight="1" x14ac:dyDescent="0.35"/>
    <row r="404" ht="60" customHeight="1" x14ac:dyDescent="0.35"/>
    <row r="405" ht="60" customHeight="1" x14ac:dyDescent="0.35"/>
    <row r="406" ht="60" customHeight="1" x14ac:dyDescent="0.35"/>
    <row r="407" ht="60" customHeight="1" x14ac:dyDescent="0.35"/>
    <row r="408" ht="60" customHeight="1" x14ac:dyDescent="0.35"/>
    <row r="409" ht="60" customHeight="1" x14ac:dyDescent="0.35"/>
    <row r="410" ht="60" customHeight="1" x14ac:dyDescent="0.35"/>
    <row r="411" ht="60" customHeight="1" x14ac:dyDescent="0.35"/>
    <row r="412" ht="60" customHeight="1" x14ac:dyDescent="0.35"/>
    <row r="413" ht="60" customHeight="1" x14ac:dyDescent="0.35"/>
    <row r="414" ht="60" customHeight="1" x14ac:dyDescent="0.35"/>
    <row r="415" ht="60" customHeight="1" x14ac:dyDescent="0.35"/>
    <row r="416" ht="60" customHeight="1" x14ac:dyDescent="0.35"/>
    <row r="417" ht="60" customHeight="1" x14ac:dyDescent="0.35"/>
    <row r="418" ht="60" customHeight="1" x14ac:dyDescent="0.35"/>
    <row r="419" ht="60" customHeight="1" x14ac:dyDescent="0.35"/>
    <row r="420" ht="60" customHeight="1" x14ac:dyDescent="0.35"/>
    <row r="421" ht="60" customHeight="1" x14ac:dyDescent="0.35"/>
    <row r="422" ht="60" customHeight="1" x14ac:dyDescent="0.35"/>
    <row r="423" ht="60" customHeight="1" x14ac:dyDescent="0.35"/>
    <row r="424" ht="60" customHeight="1" x14ac:dyDescent="0.35"/>
    <row r="425" ht="60" customHeight="1" x14ac:dyDescent="0.35"/>
    <row r="426" ht="60" customHeight="1" x14ac:dyDescent="0.35"/>
    <row r="427" ht="60" customHeight="1" x14ac:dyDescent="0.35"/>
    <row r="428" ht="60" customHeight="1" x14ac:dyDescent="0.35"/>
    <row r="429" ht="60" customHeight="1" x14ac:dyDescent="0.35"/>
    <row r="430" ht="60" customHeight="1" x14ac:dyDescent="0.35"/>
    <row r="431" ht="60" customHeight="1" x14ac:dyDescent="0.35"/>
    <row r="432" ht="60" customHeight="1" x14ac:dyDescent="0.35"/>
    <row r="433" ht="60" customHeight="1" x14ac:dyDescent="0.35"/>
    <row r="434" ht="60" customHeight="1" x14ac:dyDescent="0.35"/>
    <row r="435" ht="60" customHeight="1" x14ac:dyDescent="0.35"/>
    <row r="436" ht="60" customHeight="1" x14ac:dyDescent="0.35"/>
    <row r="437" ht="60" customHeight="1" x14ac:dyDescent="0.35"/>
    <row r="438" ht="60" customHeight="1" x14ac:dyDescent="0.35"/>
    <row r="439" ht="60" customHeight="1" x14ac:dyDescent="0.35"/>
    <row r="440" ht="60" customHeight="1" x14ac:dyDescent="0.35"/>
    <row r="441" ht="60" customHeight="1" x14ac:dyDescent="0.35"/>
    <row r="442" ht="60" customHeight="1" x14ac:dyDescent="0.35"/>
    <row r="443" ht="60" customHeight="1" x14ac:dyDescent="0.35"/>
    <row r="444" ht="60" customHeight="1" x14ac:dyDescent="0.35"/>
    <row r="445" ht="60" customHeight="1" x14ac:dyDescent="0.35"/>
    <row r="446" ht="60" customHeight="1" x14ac:dyDescent="0.35"/>
    <row r="447" ht="60" customHeight="1" x14ac:dyDescent="0.35"/>
    <row r="448" ht="60" customHeight="1" x14ac:dyDescent="0.35"/>
    <row r="449" ht="60" customHeight="1" x14ac:dyDescent="0.35"/>
    <row r="450" ht="60" customHeight="1" x14ac:dyDescent="0.35"/>
    <row r="451" ht="60" customHeight="1" x14ac:dyDescent="0.35"/>
    <row r="452" ht="60" customHeight="1" x14ac:dyDescent="0.35"/>
    <row r="453" ht="60" customHeight="1" x14ac:dyDescent="0.35"/>
    <row r="454" ht="60" customHeight="1" x14ac:dyDescent="0.35"/>
    <row r="455" ht="60" customHeight="1" x14ac:dyDescent="0.35"/>
    <row r="456" ht="60" customHeight="1" x14ac:dyDescent="0.35"/>
    <row r="457" ht="60" customHeight="1" x14ac:dyDescent="0.35"/>
    <row r="458" ht="60" customHeight="1" x14ac:dyDescent="0.35"/>
    <row r="459" ht="60" customHeight="1" x14ac:dyDescent="0.35"/>
    <row r="460" ht="60" customHeight="1" x14ac:dyDescent="0.35"/>
    <row r="461" ht="60" customHeight="1" x14ac:dyDescent="0.35"/>
    <row r="462" ht="60" customHeight="1" x14ac:dyDescent="0.35"/>
    <row r="463" ht="60" customHeight="1" x14ac:dyDescent="0.35"/>
    <row r="464" ht="60" customHeight="1" x14ac:dyDescent="0.35"/>
    <row r="465" ht="60" customHeight="1" x14ac:dyDescent="0.35"/>
    <row r="466" ht="60" customHeight="1" x14ac:dyDescent="0.35"/>
    <row r="467" ht="60" customHeight="1" x14ac:dyDescent="0.35"/>
    <row r="468" ht="60" customHeight="1" x14ac:dyDescent="0.35"/>
    <row r="469" ht="60" customHeight="1" x14ac:dyDescent="0.35"/>
    <row r="470" ht="60" customHeight="1" x14ac:dyDescent="0.35"/>
    <row r="471" ht="60" customHeight="1" x14ac:dyDescent="0.35"/>
    <row r="472" ht="60" customHeight="1" x14ac:dyDescent="0.35"/>
    <row r="473" ht="60" customHeight="1" x14ac:dyDescent="0.35"/>
    <row r="474" ht="60" customHeight="1" x14ac:dyDescent="0.35"/>
    <row r="475" ht="60" customHeight="1" x14ac:dyDescent="0.35"/>
    <row r="476" ht="60" customHeight="1" x14ac:dyDescent="0.35"/>
    <row r="477" ht="60" customHeight="1" x14ac:dyDescent="0.35"/>
    <row r="478" ht="60" customHeight="1" x14ac:dyDescent="0.35"/>
    <row r="479" ht="60" customHeight="1" x14ac:dyDescent="0.35"/>
    <row r="480" ht="60" customHeight="1" x14ac:dyDescent="0.35"/>
    <row r="481" ht="60" customHeight="1" x14ac:dyDescent="0.35"/>
    <row r="482" ht="60" customHeight="1" x14ac:dyDescent="0.35"/>
    <row r="483" ht="60" customHeight="1" x14ac:dyDescent="0.35"/>
    <row r="484" ht="60" customHeight="1" x14ac:dyDescent="0.35"/>
    <row r="485" ht="60" customHeight="1" x14ac:dyDescent="0.35"/>
    <row r="486" ht="60" customHeight="1" x14ac:dyDescent="0.35"/>
    <row r="487" ht="60" customHeight="1" x14ac:dyDescent="0.35"/>
    <row r="488" ht="60" customHeight="1" x14ac:dyDescent="0.35"/>
    <row r="489" ht="60" customHeight="1" x14ac:dyDescent="0.35"/>
    <row r="490" ht="60" customHeight="1" x14ac:dyDescent="0.35"/>
    <row r="491" ht="60" customHeight="1" x14ac:dyDescent="0.35"/>
    <row r="492" ht="60" customHeight="1" x14ac:dyDescent="0.35"/>
    <row r="493" ht="60" customHeight="1" x14ac:dyDescent="0.35"/>
    <row r="494" ht="60" customHeight="1" x14ac:dyDescent="0.35"/>
    <row r="495" ht="60" customHeight="1" x14ac:dyDescent="0.35"/>
    <row r="496" ht="60" customHeight="1" x14ac:dyDescent="0.35"/>
    <row r="497" ht="60" customHeight="1" x14ac:dyDescent="0.35"/>
    <row r="498" ht="60" customHeight="1" x14ac:dyDescent="0.35"/>
    <row r="499" ht="60" customHeight="1" x14ac:dyDescent="0.35"/>
    <row r="500" ht="60" customHeight="1" x14ac:dyDescent="0.35"/>
  </sheetData>
  <mergeCells count="2">
    <mergeCell ref="A1:D1"/>
    <mergeCell ref="A2:D2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21"/>
  <sheetViews>
    <sheetView zoomScaleNormal="100" workbookViewId="0">
      <pane ySplit="2" topLeftCell="A3" activePane="bottomLeft" state="frozen"/>
      <selection pane="bottomLeft" sqref="A1:H1"/>
    </sheetView>
  </sheetViews>
  <sheetFormatPr defaultColWidth="8.6328125" defaultRowHeight="14.5" x14ac:dyDescent="0.35"/>
  <cols>
    <col min="1" max="1" width="20" customWidth="1"/>
    <col min="2" max="2" width="26" customWidth="1"/>
    <col min="3" max="3" width="14" customWidth="1"/>
    <col min="4" max="4" width="16" customWidth="1"/>
    <col min="5" max="5" width="14" customWidth="1"/>
    <col min="6" max="6" width="16" customWidth="1"/>
    <col min="7" max="7" width="20" customWidth="1"/>
    <col min="8" max="8" width="16" customWidth="1"/>
  </cols>
  <sheetData>
    <row r="1" spans="1:8" ht="30" customHeight="1" x14ac:dyDescent="0.35">
      <c r="A1" s="57" t="s">
        <v>88</v>
      </c>
      <c r="B1" s="56"/>
      <c r="C1" s="56"/>
      <c r="D1" s="56"/>
      <c r="E1" s="56"/>
      <c r="F1" s="56"/>
      <c r="G1" s="56"/>
      <c r="H1" s="56"/>
    </row>
    <row r="2" spans="1:8" ht="27.75" customHeight="1" x14ac:dyDescent="0.35">
      <c r="A2" s="1" t="s">
        <v>2</v>
      </c>
      <c r="B2" s="1" t="s">
        <v>3</v>
      </c>
      <c r="C2" s="1" t="s">
        <v>68</v>
      </c>
      <c r="D2" s="1" t="s">
        <v>82</v>
      </c>
      <c r="E2" s="1" t="s">
        <v>89</v>
      </c>
      <c r="F2" s="1" t="s">
        <v>90</v>
      </c>
      <c r="G2" s="1" t="s">
        <v>91</v>
      </c>
      <c r="H2" s="1" t="s">
        <v>92</v>
      </c>
    </row>
    <row r="3" spans="1:8" ht="18" customHeight="1" x14ac:dyDescent="0.35">
      <c r="A3" s="3" t="s">
        <v>12</v>
      </c>
      <c r="B3" s="4" t="s">
        <v>13</v>
      </c>
      <c r="C3" s="2"/>
      <c r="D3" s="14"/>
      <c r="E3" s="2"/>
      <c r="F3" s="2"/>
      <c r="G3" s="2"/>
      <c r="H3" s="15" t="str">
        <f t="shared" ref="H3:H21" si="0">IF(D3="","",IF(E3="",D3,0))</f>
        <v/>
      </c>
    </row>
    <row r="4" spans="1:8" ht="18" customHeight="1" x14ac:dyDescent="0.35">
      <c r="A4" s="7" t="s">
        <v>16</v>
      </c>
      <c r="B4" s="8" t="s">
        <v>17</v>
      </c>
      <c r="C4" s="6"/>
      <c r="D4" s="14"/>
      <c r="E4" s="6"/>
      <c r="F4" s="6"/>
      <c r="G4" s="6"/>
      <c r="H4" s="16" t="str">
        <f t="shared" si="0"/>
        <v/>
      </c>
    </row>
    <row r="5" spans="1:8" ht="18" customHeight="1" x14ac:dyDescent="0.35">
      <c r="A5" s="3" t="s">
        <v>18</v>
      </c>
      <c r="B5" s="4" t="s">
        <v>19</v>
      </c>
      <c r="C5" s="2"/>
      <c r="D5" s="14"/>
      <c r="E5" s="2"/>
      <c r="F5" s="2"/>
      <c r="G5" s="2"/>
      <c r="H5" s="15" t="str">
        <f t="shared" si="0"/>
        <v/>
      </c>
    </row>
    <row r="6" spans="1:8" ht="18" customHeight="1" x14ac:dyDescent="0.35">
      <c r="A6" s="7" t="s">
        <v>22</v>
      </c>
      <c r="B6" s="8" t="s">
        <v>23</v>
      </c>
      <c r="C6" s="6"/>
      <c r="D6" s="14"/>
      <c r="E6" s="6"/>
      <c r="F6" s="6"/>
      <c r="G6" s="6"/>
      <c r="H6" s="16" t="str">
        <f t="shared" si="0"/>
        <v/>
      </c>
    </row>
    <row r="7" spans="1:8" ht="18" customHeight="1" x14ac:dyDescent="0.35">
      <c r="A7" s="3" t="s">
        <v>25</v>
      </c>
      <c r="B7" s="4" t="s">
        <v>26</v>
      </c>
      <c r="C7" s="2"/>
      <c r="D7" s="14"/>
      <c r="E7" s="2"/>
      <c r="F7" s="2"/>
      <c r="G7" s="2"/>
      <c r="H7" s="15" t="str">
        <f t="shared" si="0"/>
        <v/>
      </c>
    </row>
    <row r="8" spans="1:8" ht="18" customHeight="1" x14ac:dyDescent="0.35">
      <c r="A8" s="7" t="s">
        <v>28</v>
      </c>
      <c r="B8" s="8" t="s">
        <v>29</v>
      </c>
      <c r="C8" s="6"/>
      <c r="D8" s="14"/>
      <c r="E8" s="6"/>
      <c r="F8" s="6"/>
      <c r="G8" s="6"/>
      <c r="H8" s="16" t="str">
        <f t="shared" si="0"/>
        <v/>
      </c>
    </row>
    <row r="9" spans="1:8" ht="18" customHeight="1" x14ac:dyDescent="0.35">
      <c r="A9" s="3" t="s">
        <v>32</v>
      </c>
      <c r="B9" s="4" t="s">
        <v>33</v>
      </c>
      <c r="C9" s="2"/>
      <c r="D9" s="14"/>
      <c r="E9" s="2"/>
      <c r="F9" s="2"/>
      <c r="G9" s="2"/>
      <c r="H9" s="15" t="str">
        <f t="shared" si="0"/>
        <v/>
      </c>
    </row>
    <row r="10" spans="1:8" ht="18" customHeight="1" x14ac:dyDescent="0.35">
      <c r="A10" s="7" t="s">
        <v>35</v>
      </c>
      <c r="B10" s="8" t="s">
        <v>36</v>
      </c>
      <c r="C10" s="6"/>
      <c r="D10" s="14"/>
      <c r="E10" s="6"/>
      <c r="F10" s="6"/>
      <c r="G10" s="6"/>
      <c r="H10" s="16" t="str">
        <f t="shared" si="0"/>
        <v/>
      </c>
    </row>
    <row r="11" spans="1:8" ht="18" customHeight="1" x14ac:dyDescent="0.35">
      <c r="A11" s="3" t="s">
        <v>38</v>
      </c>
      <c r="B11" s="4" t="s">
        <v>39</v>
      </c>
      <c r="C11" s="2"/>
      <c r="D11" s="14"/>
      <c r="E11" s="2"/>
      <c r="F11" s="2"/>
      <c r="G11" s="2"/>
      <c r="H11" s="15" t="str">
        <f t="shared" si="0"/>
        <v/>
      </c>
    </row>
    <row r="12" spans="1:8" ht="18" customHeight="1" x14ac:dyDescent="0.35">
      <c r="A12" s="7" t="s">
        <v>41</v>
      </c>
      <c r="B12" s="8" t="s">
        <v>42</v>
      </c>
      <c r="C12" s="6"/>
      <c r="D12" s="14"/>
      <c r="E12" s="6"/>
      <c r="F12" s="6"/>
      <c r="G12" s="6"/>
      <c r="H12" s="16" t="str">
        <f t="shared" si="0"/>
        <v/>
      </c>
    </row>
    <row r="13" spans="1:8" ht="18" customHeight="1" x14ac:dyDescent="0.35">
      <c r="A13" s="3" t="s">
        <v>44</v>
      </c>
      <c r="B13" s="4" t="s">
        <v>17</v>
      </c>
      <c r="C13" s="2"/>
      <c r="D13" s="14"/>
      <c r="E13" s="2"/>
      <c r="F13" s="2"/>
      <c r="G13" s="2"/>
      <c r="H13" s="15" t="str">
        <f t="shared" si="0"/>
        <v/>
      </c>
    </row>
    <row r="14" spans="1:8" ht="18" customHeight="1" x14ac:dyDescent="0.35">
      <c r="A14" s="7" t="s">
        <v>46</v>
      </c>
      <c r="B14" s="8" t="s">
        <v>47</v>
      </c>
      <c r="C14" s="6"/>
      <c r="D14" s="14"/>
      <c r="E14" s="6"/>
      <c r="F14" s="6"/>
      <c r="G14" s="6"/>
      <c r="H14" s="16" t="str">
        <f t="shared" si="0"/>
        <v/>
      </c>
    </row>
    <row r="15" spans="1:8" ht="18" customHeight="1" x14ac:dyDescent="0.35">
      <c r="A15" s="3" t="s">
        <v>48</v>
      </c>
      <c r="B15" s="4" t="s">
        <v>49</v>
      </c>
      <c r="C15" s="2"/>
      <c r="D15" s="14"/>
      <c r="E15" s="2"/>
      <c r="F15" s="2"/>
      <c r="G15" s="2"/>
      <c r="H15" s="15" t="str">
        <f t="shared" si="0"/>
        <v/>
      </c>
    </row>
    <row r="16" spans="1:8" ht="18" customHeight="1" x14ac:dyDescent="0.35">
      <c r="A16" s="7" t="s">
        <v>51</v>
      </c>
      <c r="B16" s="8" t="s">
        <v>52</v>
      </c>
      <c r="C16" s="6"/>
      <c r="D16" s="14"/>
      <c r="E16" s="6"/>
      <c r="F16" s="6"/>
      <c r="G16" s="6"/>
      <c r="H16" s="16" t="str">
        <f t="shared" si="0"/>
        <v/>
      </c>
    </row>
    <row r="17" spans="1:8" ht="18" customHeight="1" x14ac:dyDescent="0.35">
      <c r="A17" s="3" t="s">
        <v>53</v>
      </c>
      <c r="B17" s="4" t="s">
        <v>54</v>
      </c>
      <c r="C17" s="2"/>
      <c r="D17" s="14"/>
      <c r="E17" s="2"/>
      <c r="F17" s="2"/>
      <c r="G17" s="2"/>
      <c r="H17" s="15" t="str">
        <f t="shared" si="0"/>
        <v/>
      </c>
    </row>
    <row r="18" spans="1:8" ht="18" customHeight="1" x14ac:dyDescent="0.35">
      <c r="A18" s="7" t="s">
        <v>56</v>
      </c>
      <c r="B18" s="8" t="s">
        <v>57</v>
      </c>
      <c r="C18" s="6"/>
      <c r="D18" s="14"/>
      <c r="E18" s="6"/>
      <c r="F18" s="6"/>
      <c r="G18" s="6"/>
      <c r="H18" s="16" t="str">
        <f t="shared" si="0"/>
        <v/>
      </c>
    </row>
    <row r="19" spans="1:8" ht="18" customHeight="1" x14ac:dyDescent="0.35">
      <c r="A19" s="3" t="s">
        <v>59</v>
      </c>
      <c r="B19" s="4" t="s">
        <v>60</v>
      </c>
      <c r="C19" s="2"/>
      <c r="D19" s="14"/>
      <c r="E19" s="2"/>
      <c r="F19" s="2"/>
      <c r="G19" s="2"/>
      <c r="H19" s="15" t="str">
        <f t="shared" si="0"/>
        <v/>
      </c>
    </row>
    <row r="20" spans="1:8" ht="18" customHeight="1" x14ac:dyDescent="0.35">
      <c r="A20" s="7" t="s">
        <v>63</v>
      </c>
      <c r="B20" s="8" t="s">
        <v>64</v>
      </c>
      <c r="C20" s="6"/>
      <c r="D20" s="14"/>
      <c r="E20" s="6"/>
      <c r="F20" s="6"/>
      <c r="G20" s="6"/>
      <c r="H20" s="16" t="str">
        <f t="shared" si="0"/>
        <v/>
      </c>
    </row>
    <row r="21" spans="1:8" ht="18" customHeight="1" x14ac:dyDescent="0.35">
      <c r="A21" s="3" t="s">
        <v>65</v>
      </c>
      <c r="B21" s="4" t="s">
        <v>66</v>
      </c>
      <c r="C21" s="2"/>
      <c r="D21" s="14"/>
      <c r="E21" s="2"/>
      <c r="F21" s="2"/>
      <c r="G21" s="2"/>
      <c r="H21" s="15" t="str">
        <f t="shared" si="0"/>
        <v/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36"/>
  <sheetViews>
    <sheetView zoomScaleNormal="100" workbookViewId="0">
      <selection activeCell="A18" sqref="A18:B18"/>
    </sheetView>
  </sheetViews>
  <sheetFormatPr defaultColWidth="8.6328125" defaultRowHeight="14.5" x14ac:dyDescent="0.35"/>
  <cols>
    <col min="1" max="1" width="110" customWidth="1"/>
    <col min="2" max="2" width="5" customWidth="1"/>
  </cols>
  <sheetData>
    <row r="1" spans="1:2" ht="36" customHeight="1" x14ac:dyDescent="0.35">
      <c r="A1" s="64" t="s">
        <v>93</v>
      </c>
      <c r="B1" s="56"/>
    </row>
    <row r="2" spans="1:2" ht="7.5" customHeight="1" x14ac:dyDescent="0.35">
      <c r="A2" s="65"/>
      <c r="B2" s="56"/>
    </row>
    <row r="3" spans="1:2" ht="24" customHeight="1" x14ac:dyDescent="0.35">
      <c r="A3" s="67" t="s">
        <v>94</v>
      </c>
      <c r="B3" s="56"/>
    </row>
    <row r="4" spans="1:2" ht="30" customHeight="1" x14ac:dyDescent="0.35">
      <c r="A4" s="66" t="s">
        <v>95</v>
      </c>
      <c r="B4" s="56"/>
    </row>
    <row r="5" spans="1:2" ht="19.5" customHeight="1" x14ac:dyDescent="0.35">
      <c r="A5" s="70" t="s">
        <v>96</v>
      </c>
      <c r="B5" s="56"/>
    </row>
    <row r="6" spans="1:2" ht="7.5" customHeight="1" x14ac:dyDescent="0.35">
      <c r="A6" s="65"/>
      <c r="B6" s="56"/>
    </row>
    <row r="7" spans="1:2" ht="24" customHeight="1" x14ac:dyDescent="0.35">
      <c r="A7" s="67" t="s">
        <v>97</v>
      </c>
      <c r="B7" s="56"/>
    </row>
    <row r="8" spans="1:2" ht="30" customHeight="1" x14ac:dyDescent="0.35">
      <c r="A8" s="66" t="s">
        <v>98</v>
      </c>
      <c r="B8" s="56"/>
    </row>
    <row r="9" spans="1:2" ht="7.5" customHeight="1" x14ac:dyDescent="0.35">
      <c r="A9" s="65"/>
      <c r="B9" s="56"/>
    </row>
    <row r="10" spans="1:2" ht="24" customHeight="1" x14ac:dyDescent="0.35">
      <c r="A10" s="67" t="s">
        <v>99</v>
      </c>
      <c r="B10" s="56"/>
    </row>
    <row r="11" spans="1:2" ht="30" customHeight="1" x14ac:dyDescent="0.35">
      <c r="A11" s="66" t="s">
        <v>100</v>
      </c>
      <c r="B11" s="56"/>
    </row>
    <row r="12" spans="1:2" ht="30" customHeight="1" x14ac:dyDescent="0.35">
      <c r="A12" s="66" t="s">
        <v>101</v>
      </c>
      <c r="B12" s="56"/>
    </row>
    <row r="13" spans="1:2" ht="7.5" customHeight="1" x14ac:dyDescent="0.35">
      <c r="A13" s="65"/>
      <c r="B13" s="56"/>
    </row>
    <row r="14" spans="1:2" ht="24" customHeight="1" x14ac:dyDescent="0.35">
      <c r="A14" s="67" t="s">
        <v>102</v>
      </c>
      <c r="B14" s="56"/>
    </row>
    <row r="15" spans="1:2" ht="19.5" customHeight="1" x14ac:dyDescent="0.35">
      <c r="A15" s="66" t="s">
        <v>103</v>
      </c>
      <c r="B15" s="56"/>
    </row>
    <row r="16" spans="1:2" ht="19.5" customHeight="1" x14ac:dyDescent="0.35">
      <c r="A16" s="66" t="s">
        <v>104</v>
      </c>
      <c r="B16" s="56"/>
    </row>
    <row r="17" spans="1:2" ht="19.5" customHeight="1" x14ac:dyDescent="0.35">
      <c r="A17" s="66" t="s">
        <v>105</v>
      </c>
      <c r="B17" s="56"/>
    </row>
    <row r="18" spans="1:2" ht="19.5" customHeight="1" x14ac:dyDescent="0.35">
      <c r="A18" s="66" t="s">
        <v>106</v>
      </c>
      <c r="B18" s="56"/>
    </row>
    <row r="19" spans="1:2" ht="19.5" customHeight="1" x14ac:dyDescent="0.35">
      <c r="A19" s="66" t="s">
        <v>107</v>
      </c>
      <c r="B19" s="56"/>
    </row>
    <row r="20" spans="1:2" ht="19.5" customHeight="1" x14ac:dyDescent="0.35">
      <c r="A20" s="66" t="s">
        <v>108</v>
      </c>
      <c r="B20" s="56"/>
    </row>
    <row r="21" spans="1:2" ht="19.5" customHeight="1" x14ac:dyDescent="0.35">
      <c r="A21" s="68" t="s">
        <v>109</v>
      </c>
      <c r="B21" s="56"/>
    </row>
    <row r="22" spans="1:2" ht="7.5" customHeight="1" x14ac:dyDescent="0.35">
      <c r="A22" s="65"/>
      <c r="B22" s="56"/>
    </row>
    <row r="23" spans="1:2" ht="24" customHeight="1" x14ac:dyDescent="0.35">
      <c r="A23" s="67" t="s">
        <v>110</v>
      </c>
      <c r="B23" s="56"/>
    </row>
    <row r="24" spans="1:2" ht="19.5" customHeight="1" x14ac:dyDescent="0.35">
      <c r="A24" s="66" t="s">
        <v>111</v>
      </c>
      <c r="B24" s="56"/>
    </row>
    <row r="25" spans="1:2" ht="19.5" customHeight="1" x14ac:dyDescent="0.35">
      <c r="A25" s="66" t="s">
        <v>112</v>
      </c>
      <c r="B25" s="56"/>
    </row>
    <row r="26" spans="1:2" ht="19.5" customHeight="1" x14ac:dyDescent="0.35">
      <c r="A26" s="66" t="s">
        <v>113</v>
      </c>
      <c r="B26" s="56"/>
    </row>
    <row r="27" spans="1:2" ht="19.5" customHeight="1" x14ac:dyDescent="0.35">
      <c r="A27" s="66" t="s">
        <v>114</v>
      </c>
      <c r="B27" s="56"/>
    </row>
    <row r="28" spans="1:2" ht="19.5" customHeight="1" x14ac:dyDescent="0.35">
      <c r="A28" s="66" t="s">
        <v>115</v>
      </c>
      <c r="B28" s="56"/>
    </row>
    <row r="29" spans="1:2" ht="19.5" customHeight="1" x14ac:dyDescent="0.35">
      <c r="A29" s="66" t="s">
        <v>116</v>
      </c>
      <c r="B29" s="56"/>
    </row>
    <row r="30" spans="1:2" ht="19.5" customHeight="1" x14ac:dyDescent="0.35">
      <c r="A30" s="66" t="s">
        <v>117</v>
      </c>
      <c r="B30" s="56"/>
    </row>
    <row r="31" spans="1:2" ht="7.5" customHeight="1" x14ac:dyDescent="0.35">
      <c r="A31" s="65"/>
      <c r="B31" s="56"/>
    </row>
    <row r="32" spans="1:2" ht="24" customHeight="1" x14ac:dyDescent="0.35">
      <c r="A32" s="71" t="s">
        <v>118</v>
      </c>
      <c r="B32" s="56"/>
    </row>
    <row r="33" spans="1:2" ht="19.5" customHeight="1" x14ac:dyDescent="0.35">
      <c r="A33" s="69" t="s">
        <v>119</v>
      </c>
      <c r="B33" s="56"/>
    </row>
    <row r="35" spans="1:2" x14ac:dyDescent="0.35">
      <c r="A35" s="20" t="s">
        <v>120</v>
      </c>
    </row>
    <row r="36" spans="1:2" ht="60" customHeight="1" x14ac:dyDescent="0.35">
      <c r="A36" s="21" t="s">
        <v>121</v>
      </c>
    </row>
  </sheetData>
  <mergeCells count="33">
    <mergeCell ref="A29:B29"/>
    <mergeCell ref="A19:B19"/>
    <mergeCell ref="A10:B10"/>
    <mergeCell ref="A28:B28"/>
    <mergeCell ref="A13:B13"/>
    <mergeCell ref="A33:B33"/>
    <mergeCell ref="A5:B5"/>
    <mergeCell ref="A32:B32"/>
    <mergeCell ref="A14:B14"/>
    <mergeCell ref="A17:B17"/>
    <mergeCell ref="A23:B23"/>
    <mergeCell ref="A8:B8"/>
    <mergeCell ref="A22:B22"/>
    <mergeCell ref="A31:B31"/>
    <mergeCell ref="A30:B30"/>
    <mergeCell ref="A24:B24"/>
    <mergeCell ref="A15:B15"/>
    <mergeCell ref="A11:B11"/>
    <mergeCell ref="A27:B27"/>
    <mergeCell ref="A26:B26"/>
    <mergeCell ref="A20:B20"/>
    <mergeCell ref="A1:B1"/>
    <mergeCell ref="A6:B6"/>
    <mergeCell ref="A16:B16"/>
    <mergeCell ref="A7:B7"/>
    <mergeCell ref="A25:B25"/>
    <mergeCell ref="A18:B18"/>
    <mergeCell ref="A3:B3"/>
    <mergeCell ref="A12:B12"/>
    <mergeCell ref="A21:B21"/>
    <mergeCell ref="A2:B2"/>
    <mergeCell ref="A4:B4"/>
    <mergeCell ref="A9:B9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484"/>
  <sheetViews>
    <sheetView workbookViewId="0">
      <selection activeCell="C1" sqref="C1"/>
    </sheetView>
  </sheetViews>
  <sheetFormatPr defaultRowHeight="14.5" x14ac:dyDescent="0.35"/>
  <cols>
    <col min="1" max="1" width="110" customWidth="1"/>
  </cols>
  <sheetData>
    <row r="1" spans="1:1" ht="36" customHeight="1" x14ac:dyDescent="0.35">
      <c r="A1" s="72" t="s">
        <v>122</v>
      </c>
    </row>
    <row r="2" spans="1:1" ht="28" customHeight="1" x14ac:dyDescent="0.35">
      <c r="A2" s="22" t="s">
        <v>123</v>
      </c>
    </row>
    <row r="4" spans="1:1" ht="14" customHeight="1" x14ac:dyDescent="0.35">
      <c r="A4" s="23" t="s">
        <v>124</v>
      </c>
    </row>
    <row r="5" spans="1:1" ht="14" customHeight="1" x14ac:dyDescent="0.35">
      <c r="A5" s="23" t="s">
        <v>125</v>
      </c>
    </row>
    <row r="6" spans="1:1" ht="14" customHeight="1" x14ac:dyDescent="0.35">
      <c r="A6" s="23" t="s">
        <v>126</v>
      </c>
    </row>
    <row r="7" spans="1:1" ht="14" customHeight="1" x14ac:dyDescent="0.35">
      <c r="A7" s="23" t="s">
        <v>125</v>
      </c>
    </row>
    <row r="8" spans="1:1" ht="14" customHeight="1" x14ac:dyDescent="0.35">
      <c r="A8" s="23" t="s">
        <v>127</v>
      </c>
    </row>
    <row r="9" spans="1:1" ht="14" customHeight="1" x14ac:dyDescent="0.35">
      <c r="A9" s="23" t="s">
        <v>128</v>
      </c>
    </row>
    <row r="10" spans="1:1" ht="14" customHeight="1" x14ac:dyDescent="0.35">
      <c r="A10" s="23" t="s">
        <v>129</v>
      </c>
    </row>
    <row r="11" spans="1:1" ht="14" customHeight="1" x14ac:dyDescent="0.35">
      <c r="A11" s="23" t="s">
        <v>130</v>
      </c>
    </row>
    <row r="12" spans="1:1" ht="14" customHeight="1" x14ac:dyDescent="0.35">
      <c r="A12" s="23" t="s">
        <v>125</v>
      </c>
    </row>
    <row r="13" spans="1:1" ht="14" customHeight="1" x14ac:dyDescent="0.35">
      <c r="A13" s="23"/>
    </row>
    <row r="14" spans="1:1" ht="14" customHeight="1" x14ac:dyDescent="0.35">
      <c r="A14" s="23" t="s">
        <v>131</v>
      </c>
    </row>
    <row r="15" spans="1:1" ht="14" customHeight="1" x14ac:dyDescent="0.35">
      <c r="A15" s="23" t="s">
        <v>132</v>
      </c>
    </row>
    <row r="16" spans="1:1" ht="14" customHeight="1" x14ac:dyDescent="0.35">
      <c r="A16" s="23" t="s">
        <v>133</v>
      </c>
    </row>
    <row r="17" spans="1:1" ht="14" customHeight="1" x14ac:dyDescent="0.35">
      <c r="A17" s="23" t="s">
        <v>134</v>
      </c>
    </row>
    <row r="18" spans="1:1" ht="14" customHeight="1" x14ac:dyDescent="0.35">
      <c r="A18" s="23" t="s">
        <v>135</v>
      </c>
    </row>
    <row r="19" spans="1:1" ht="14" customHeight="1" x14ac:dyDescent="0.35">
      <c r="A19" s="23"/>
    </row>
    <row r="20" spans="1:1" ht="14" customHeight="1" x14ac:dyDescent="0.35">
      <c r="A20" s="23" t="s">
        <v>125</v>
      </c>
    </row>
    <row r="21" spans="1:1" ht="14" customHeight="1" x14ac:dyDescent="0.35">
      <c r="A21" s="23" t="s">
        <v>136</v>
      </c>
    </row>
    <row r="22" spans="1:1" ht="14" customHeight="1" x14ac:dyDescent="0.35">
      <c r="A22" s="23" t="s">
        <v>125</v>
      </c>
    </row>
    <row r="23" spans="1:1" ht="14" customHeight="1" x14ac:dyDescent="0.35">
      <c r="A23" s="23" t="s">
        <v>137</v>
      </c>
    </row>
    <row r="24" spans="1:1" ht="14" customHeight="1" x14ac:dyDescent="0.35">
      <c r="A24" s="23" t="s">
        <v>138</v>
      </c>
    </row>
    <row r="25" spans="1:1" ht="14" customHeight="1" x14ac:dyDescent="0.35">
      <c r="A25" s="23" t="s">
        <v>139</v>
      </c>
    </row>
    <row r="26" spans="1:1" ht="14" customHeight="1" x14ac:dyDescent="0.35">
      <c r="A26" s="23"/>
    </row>
    <row r="27" spans="1:1" ht="14" customHeight="1" x14ac:dyDescent="0.35">
      <c r="A27" s="23" t="s">
        <v>140</v>
      </c>
    </row>
    <row r="28" spans="1:1" ht="14" customHeight="1" x14ac:dyDescent="0.35">
      <c r="A28" s="23" t="s">
        <v>141</v>
      </c>
    </row>
    <row r="29" spans="1:1" ht="14" customHeight="1" x14ac:dyDescent="0.35">
      <c r="A29" s="23" t="s">
        <v>142</v>
      </c>
    </row>
    <row r="30" spans="1:1" ht="14" customHeight="1" x14ac:dyDescent="0.35">
      <c r="A30" s="23"/>
    </row>
    <row r="31" spans="1:1" ht="14" customHeight="1" x14ac:dyDescent="0.35">
      <c r="A31" s="23" t="s">
        <v>143</v>
      </c>
    </row>
    <row r="32" spans="1:1" ht="14" customHeight="1" x14ac:dyDescent="0.35">
      <c r="A32" s="23" t="s">
        <v>144</v>
      </c>
    </row>
    <row r="33" spans="1:1" ht="14" customHeight="1" x14ac:dyDescent="0.35">
      <c r="A33" s="23" t="s">
        <v>145</v>
      </c>
    </row>
    <row r="34" spans="1:1" ht="14" customHeight="1" x14ac:dyDescent="0.35">
      <c r="A34" s="23" t="s">
        <v>146</v>
      </c>
    </row>
    <row r="35" spans="1:1" ht="14" customHeight="1" x14ac:dyDescent="0.35">
      <c r="A35" s="23" t="s">
        <v>147</v>
      </c>
    </row>
    <row r="36" spans="1:1" ht="14" customHeight="1" x14ac:dyDescent="0.35">
      <c r="A36" s="23"/>
    </row>
    <row r="37" spans="1:1" ht="14" customHeight="1" x14ac:dyDescent="0.35">
      <c r="A37" s="23" t="s">
        <v>148</v>
      </c>
    </row>
    <row r="38" spans="1:1" ht="14" customHeight="1" x14ac:dyDescent="0.35">
      <c r="A38" s="23" t="s">
        <v>149</v>
      </c>
    </row>
    <row r="39" spans="1:1" ht="14" customHeight="1" x14ac:dyDescent="0.35">
      <c r="A39" s="23" t="s">
        <v>150</v>
      </c>
    </row>
    <row r="40" spans="1:1" ht="14" customHeight="1" x14ac:dyDescent="0.35">
      <c r="A40" s="23" t="s">
        <v>151</v>
      </c>
    </row>
    <row r="41" spans="1:1" ht="14" customHeight="1" x14ac:dyDescent="0.35">
      <c r="A41" s="23" t="s">
        <v>152</v>
      </c>
    </row>
    <row r="42" spans="1:1" ht="14" customHeight="1" x14ac:dyDescent="0.35">
      <c r="A42" s="23" t="s">
        <v>146</v>
      </c>
    </row>
    <row r="43" spans="1:1" ht="14" customHeight="1" x14ac:dyDescent="0.35">
      <c r="A43" s="23" t="s">
        <v>147</v>
      </c>
    </row>
    <row r="44" spans="1:1" ht="14" customHeight="1" x14ac:dyDescent="0.35">
      <c r="A44" s="23"/>
    </row>
    <row r="45" spans="1:1" ht="14" customHeight="1" x14ac:dyDescent="0.35">
      <c r="A45" s="23" t="s">
        <v>153</v>
      </c>
    </row>
    <row r="46" spans="1:1" ht="14" customHeight="1" x14ac:dyDescent="0.35">
      <c r="A46" s="23" t="s">
        <v>154</v>
      </c>
    </row>
    <row r="47" spans="1:1" ht="14" customHeight="1" x14ac:dyDescent="0.35">
      <c r="A47" s="23" t="s">
        <v>155</v>
      </c>
    </row>
    <row r="48" spans="1:1" ht="14" customHeight="1" x14ac:dyDescent="0.35">
      <c r="A48" s="23" t="s">
        <v>156</v>
      </c>
    </row>
    <row r="49" spans="1:1" ht="14" customHeight="1" x14ac:dyDescent="0.35">
      <c r="A49" s="23" t="s">
        <v>157</v>
      </c>
    </row>
    <row r="50" spans="1:1" ht="14" customHeight="1" x14ac:dyDescent="0.35">
      <c r="A50" s="23" t="s">
        <v>158</v>
      </c>
    </row>
    <row r="51" spans="1:1" ht="14" customHeight="1" x14ac:dyDescent="0.35">
      <c r="A51" s="23" t="s">
        <v>159</v>
      </c>
    </row>
    <row r="52" spans="1:1" ht="14" customHeight="1" x14ac:dyDescent="0.35">
      <c r="A52" s="23" t="s">
        <v>160</v>
      </c>
    </row>
    <row r="53" spans="1:1" ht="14" customHeight="1" x14ac:dyDescent="0.35">
      <c r="A53" s="23" t="s">
        <v>161</v>
      </c>
    </row>
    <row r="54" spans="1:1" ht="14" customHeight="1" x14ac:dyDescent="0.35">
      <c r="A54" s="23" t="s">
        <v>162</v>
      </c>
    </row>
    <row r="55" spans="1:1" ht="14" customHeight="1" x14ac:dyDescent="0.35">
      <c r="A55" s="23"/>
    </row>
    <row r="56" spans="1:1" ht="14" customHeight="1" x14ac:dyDescent="0.35">
      <c r="A56" s="23" t="s">
        <v>163</v>
      </c>
    </row>
    <row r="57" spans="1:1" ht="14" customHeight="1" x14ac:dyDescent="0.35">
      <c r="A57" s="23" t="s">
        <v>164</v>
      </c>
    </row>
    <row r="58" spans="1:1" ht="14" customHeight="1" x14ac:dyDescent="0.35">
      <c r="A58" s="23" t="s">
        <v>165</v>
      </c>
    </row>
    <row r="59" spans="1:1" ht="14" customHeight="1" x14ac:dyDescent="0.35">
      <c r="A59" s="23" t="s">
        <v>166</v>
      </c>
    </row>
    <row r="60" spans="1:1" ht="14" customHeight="1" x14ac:dyDescent="0.35">
      <c r="A60" s="23" t="s">
        <v>167</v>
      </c>
    </row>
    <row r="61" spans="1:1" ht="14" customHeight="1" x14ac:dyDescent="0.35">
      <c r="A61" s="23" t="s">
        <v>168</v>
      </c>
    </row>
    <row r="62" spans="1:1" ht="14" customHeight="1" x14ac:dyDescent="0.35">
      <c r="A62" s="23" t="s">
        <v>169</v>
      </c>
    </row>
    <row r="63" spans="1:1" ht="14" customHeight="1" x14ac:dyDescent="0.35">
      <c r="A63" s="23" t="s">
        <v>170</v>
      </c>
    </row>
    <row r="64" spans="1:1" ht="14" customHeight="1" x14ac:dyDescent="0.35">
      <c r="A64" s="23" t="s">
        <v>171</v>
      </c>
    </row>
    <row r="65" spans="1:1" ht="14" customHeight="1" x14ac:dyDescent="0.35">
      <c r="A65" s="23" t="s">
        <v>172</v>
      </c>
    </row>
    <row r="66" spans="1:1" ht="14" customHeight="1" x14ac:dyDescent="0.35">
      <c r="A66" s="23" t="s">
        <v>147</v>
      </c>
    </row>
    <row r="67" spans="1:1" ht="14" customHeight="1" x14ac:dyDescent="0.35">
      <c r="A67" s="23" t="s">
        <v>173</v>
      </c>
    </row>
    <row r="68" spans="1:1" ht="14" customHeight="1" x14ac:dyDescent="0.35">
      <c r="A68" s="23" t="s">
        <v>174</v>
      </c>
    </row>
    <row r="69" spans="1:1" ht="14" customHeight="1" x14ac:dyDescent="0.35">
      <c r="A69" s="23" t="s">
        <v>147</v>
      </c>
    </row>
    <row r="70" spans="1:1" ht="14" customHeight="1" x14ac:dyDescent="0.35">
      <c r="A70" s="23"/>
    </row>
    <row r="71" spans="1:1" ht="14" customHeight="1" x14ac:dyDescent="0.35">
      <c r="A71" s="23" t="s">
        <v>175</v>
      </c>
    </row>
    <row r="72" spans="1:1" ht="14" customHeight="1" x14ac:dyDescent="0.35">
      <c r="A72" s="23" t="s">
        <v>176</v>
      </c>
    </row>
    <row r="73" spans="1:1" ht="14" customHeight="1" x14ac:dyDescent="0.35">
      <c r="A73" s="23" t="s">
        <v>177</v>
      </c>
    </row>
    <row r="74" spans="1:1" ht="14" customHeight="1" x14ac:dyDescent="0.35">
      <c r="A74" s="23" t="s">
        <v>178</v>
      </c>
    </row>
    <row r="75" spans="1:1" ht="14" customHeight="1" x14ac:dyDescent="0.35">
      <c r="A75" s="23" t="s">
        <v>179</v>
      </c>
    </row>
    <row r="76" spans="1:1" ht="14" customHeight="1" x14ac:dyDescent="0.35">
      <c r="A76" s="23"/>
    </row>
    <row r="77" spans="1:1" ht="14" customHeight="1" x14ac:dyDescent="0.35">
      <c r="A77" s="23" t="s">
        <v>180</v>
      </c>
    </row>
    <row r="78" spans="1:1" ht="14" customHeight="1" x14ac:dyDescent="0.35">
      <c r="A78" s="23" t="s">
        <v>181</v>
      </c>
    </row>
    <row r="79" spans="1:1" ht="14" customHeight="1" x14ac:dyDescent="0.35">
      <c r="A79" s="23" t="s">
        <v>182</v>
      </c>
    </row>
    <row r="80" spans="1:1" ht="14" customHeight="1" x14ac:dyDescent="0.35">
      <c r="A80" s="23" t="s">
        <v>183</v>
      </c>
    </row>
    <row r="81" spans="1:1" ht="14" customHeight="1" x14ac:dyDescent="0.35">
      <c r="A81" s="23" t="s">
        <v>184</v>
      </c>
    </row>
    <row r="82" spans="1:1" ht="14" customHeight="1" x14ac:dyDescent="0.35">
      <c r="A82" s="23" t="s">
        <v>185</v>
      </c>
    </row>
    <row r="83" spans="1:1" ht="14" customHeight="1" x14ac:dyDescent="0.35">
      <c r="A83" s="23" t="s">
        <v>186</v>
      </c>
    </row>
    <row r="84" spans="1:1" ht="14" customHeight="1" x14ac:dyDescent="0.35">
      <c r="A84" s="23"/>
    </row>
    <row r="85" spans="1:1" ht="14" customHeight="1" x14ac:dyDescent="0.35">
      <c r="A85" s="23" t="s">
        <v>187</v>
      </c>
    </row>
    <row r="86" spans="1:1" ht="14" customHeight="1" x14ac:dyDescent="0.35">
      <c r="A86" s="23" t="s">
        <v>188</v>
      </c>
    </row>
    <row r="87" spans="1:1" ht="14" customHeight="1" x14ac:dyDescent="0.35">
      <c r="A87" s="23" t="s">
        <v>189</v>
      </c>
    </row>
    <row r="88" spans="1:1" ht="14" customHeight="1" x14ac:dyDescent="0.35">
      <c r="A88" s="23" t="s">
        <v>190</v>
      </c>
    </row>
    <row r="89" spans="1:1" ht="14" customHeight="1" x14ac:dyDescent="0.35">
      <c r="A89" s="23" t="s">
        <v>191</v>
      </c>
    </row>
    <row r="90" spans="1:1" ht="14" customHeight="1" x14ac:dyDescent="0.35">
      <c r="A90" s="23"/>
    </row>
    <row r="91" spans="1:1" ht="14" customHeight="1" x14ac:dyDescent="0.35">
      <c r="A91" s="23" t="s">
        <v>125</v>
      </c>
    </row>
    <row r="92" spans="1:1" ht="14" customHeight="1" x14ac:dyDescent="0.35">
      <c r="A92" s="23" t="s">
        <v>192</v>
      </c>
    </row>
    <row r="93" spans="1:1" ht="14" customHeight="1" x14ac:dyDescent="0.35">
      <c r="A93" s="23" t="s">
        <v>125</v>
      </c>
    </row>
    <row r="94" spans="1:1" ht="14" customHeight="1" x14ac:dyDescent="0.35">
      <c r="A94" s="23" t="s">
        <v>193</v>
      </c>
    </row>
    <row r="95" spans="1:1" ht="14" customHeight="1" x14ac:dyDescent="0.35">
      <c r="A95" s="23" t="s">
        <v>194</v>
      </c>
    </row>
    <row r="96" spans="1:1" ht="14" customHeight="1" x14ac:dyDescent="0.35">
      <c r="A96" s="23" t="s">
        <v>195</v>
      </c>
    </row>
    <row r="97" spans="1:1" ht="14" customHeight="1" x14ac:dyDescent="0.35">
      <c r="A97" s="23" t="s">
        <v>196</v>
      </c>
    </row>
    <row r="98" spans="1:1" ht="14" customHeight="1" x14ac:dyDescent="0.35">
      <c r="A98" s="23" t="s">
        <v>197</v>
      </c>
    </row>
    <row r="99" spans="1:1" ht="14" customHeight="1" x14ac:dyDescent="0.35">
      <c r="A99" s="23" t="s">
        <v>198</v>
      </c>
    </row>
    <row r="100" spans="1:1" ht="14" customHeight="1" x14ac:dyDescent="0.35">
      <c r="A100" s="23" t="s">
        <v>199</v>
      </c>
    </row>
    <row r="101" spans="1:1" ht="14" customHeight="1" x14ac:dyDescent="0.35">
      <c r="A101" s="23" t="s">
        <v>200</v>
      </c>
    </row>
    <row r="102" spans="1:1" ht="14" customHeight="1" x14ac:dyDescent="0.35">
      <c r="A102" s="23" t="s">
        <v>201</v>
      </c>
    </row>
    <row r="103" spans="1:1" ht="14" customHeight="1" x14ac:dyDescent="0.35">
      <c r="A103" s="23" t="s">
        <v>202</v>
      </c>
    </row>
    <row r="104" spans="1:1" ht="14" customHeight="1" x14ac:dyDescent="0.35">
      <c r="A104" s="23" t="s">
        <v>203</v>
      </c>
    </row>
    <row r="105" spans="1:1" ht="14" customHeight="1" x14ac:dyDescent="0.35">
      <c r="A105" s="23" t="s">
        <v>204</v>
      </c>
    </row>
    <row r="106" spans="1:1" ht="14" customHeight="1" x14ac:dyDescent="0.35">
      <c r="A106" s="23" t="s">
        <v>205</v>
      </c>
    </row>
    <row r="107" spans="1:1" ht="14" customHeight="1" x14ac:dyDescent="0.35">
      <c r="A107" s="23" t="s">
        <v>206</v>
      </c>
    </row>
    <row r="108" spans="1:1" ht="14" customHeight="1" x14ac:dyDescent="0.35">
      <c r="A108" s="23" t="s">
        <v>207</v>
      </c>
    </row>
    <row r="109" spans="1:1" ht="14" customHeight="1" x14ac:dyDescent="0.35">
      <c r="A109" s="23" t="s">
        <v>208</v>
      </c>
    </row>
    <row r="110" spans="1:1" ht="14" customHeight="1" x14ac:dyDescent="0.35">
      <c r="A110" s="23" t="s">
        <v>209</v>
      </c>
    </row>
    <row r="111" spans="1:1" ht="14" customHeight="1" x14ac:dyDescent="0.35">
      <c r="A111" s="23" t="s">
        <v>210</v>
      </c>
    </row>
    <row r="112" spans="1:1" ht="14" customHeight="1" x14ac:dyDescent="0.35">
      <c r="A112" s="23" t="s">
        <v>211</v>
      </c>
    </row>
    <row r="113" spans="1:1" ht="14" customHeight="1" x14ac:dyDescent="0.35">
      <c r="A113" s="23"/>
    </row>
    <row r="114" spans="1:1" ht="14" customHeight="1" x14ac:dyDescent="0.35">
      <c r="A114" s="23" t="s">
        <v>125</v>
      </c>
    </row>
    <row r="115" spans="1:1" ht="14" customHeight="1" x14ac:dyDescent="0.35">
      <c r="A115" s="23" t="s">
        <v>212</v>
      </c>
    </row>
    <row r="116" spans="1:1" ht="14" customHeight="1" x14ac:dyDescent="0.35">
      <c r="A116" s="23" t="s">
        <v>213</v>
      </c>
    </row>
    <row r="117" spans="1:1" ht="14" customHeight="1" x14ac:dyDescent="0.35">
      <c r="A117" s="23" t="s">
        <v>125</v>
      </c>
    </row>
    <row r="118" spans="1:1" ht="14" customHeight="1" x14ac:dyDescent="0.35">
      <c r="A118" s="23" t="s">
        <v>214</v>
      </c>
    </row>
    <row r="119" spans="1:1" ht="14" customHeight="1" x14ac:dyDescent="0.35">
      <c r="A119" s="23" t="s">
        <v>215</v>
      </c>
    </row>
    <row r="120" spans="1:1" ht="14" customHeight="1" x14ac:dyDescent="0.35">
      <c r="A120" s="23" t="s">
        <v>216</v>
      </c>
    </row>
    <row r="121" spans="1:1" ht="14" customHeight="1" x14ac:dyDescent="0.35">
      <c r="A121" s="23"/>
    </row>
    <row r="122" spans="1:1" ht="14" customHeight="1" x14ac:dyDescent="0.35">
      <c r="A122" s="23" t="s">
        <v>217</v>
      </c>
    </row>
    <row r="123" spans="1:1" ht="14" customHeight="1" x14ac:dyDescent="0.35">
      <c r="A123" s="23" t="s">
        <v>218</v>
      </c>
    </row>
    <row r="124" spans="1:1" ht="14" customHeight="1" x14ac:dyDescent="0.35">
      <c r="A124" s="23" t="s">
        <v>219</v>
      </c>
    </row>
    <row r="125" spans="1:1" ht="14" customHeight="1" x14ac:dyDescent="0.35">
      <c r="A125" s="23" t="s">
        <v>220</v>
      </c>
    </row>
    <row r="126" spans="1:1" ht="14" customHeight="1" x14ac:dyDescent="0.35">
      <c r="A126" s="23" t="s">
        <v>221</v>
      </c>
    </row>
    <row r="127" spans="1:1" ht="14" customHeight="1" x14ac:dyDescent="0.35">
      <c r="A127" s="23" t="s">
        <v>222</v>
      </c>
    </row>
    <row r="128" spans="1:1" ht="14" customHeight="1" x14ac:dyDescent="0.35">
      <c r="A128" s="23" t="s">
        <v>223</v>
      </c>
    </row>
    <row r="129" spans="1:1" ht="14" customHeight="1" x14ac:dyDescent="0.35">
      <c r="A129" s="23" t="s">
        <v>224</v>
      </c>
    </row>
    <row r="130" spans="1:1" ht="14" customHeight="1" x14ac:dyDescent="0.35">
      <c r="A130" s="23" t="s">
        <v>225</v>
      </c>
    </row>
    <row r="131" spans="1:1" ht="14" customHeight="1" x14ac:dyDescent="0.35">
      <c r="A131" s="23" t="s">
        <v>162</v>
      </c>
    </row>
    <row r="132" spans="1:1" ht="14" customHeight="1" x14ac:dyDescent="0.35">
      <c r="A132" s="23"/>
    </row>
    <row r="133" spans="1:1" ht="14" customHeight="1" x14ac:dyDescent="0.35">
      <c r="A133" s="23" t="s">
        <v>226</v>
      </c>
    </row>
    <row r="134" spans="1:1" ht="14" customHeight="1" x14ac:dyDescent="0.35">
      <c r="A134" s="23" t="s">
        <v>227</v>
      </c>
    </row>
    <row r="135" spans="1:1" ht="14" customHeight="1" x14ac:dyDescent="0.35">
      <c r="A135" s="23" t="s">
        <v>228</v>
      </c>
    </row>
    <row r="136" spans="1:1" ht="14" customHeight="1" x14ac:dyDescent="0.35">
      <c r="A136" s="23"/>
    </row>
    <row r="137" spans="1:1" ht="14" customHeight="1" x14ac:dyDescent="0.35">
      <c r="A137" s="23" t="s">
        <v>229</v>
      </c>
    </row>
    <row r="138" spans="1:1" ht="14" customHeight="1" x14ac:dyDescent="0.35">
      <c r="A138" s="23" t="s">
        <v>230</v>
      </c>
    </row>
    <row r="139" spans="1:1" ht="14" customHeight="1" x14ac:dyDescent="0.35">
      <c r="A139" s="23" t="s">
        <v>231</v>
      </c>
    </row>
    <row r="140" spans="1:1" ht="14" customHeight="1" x14ac:dyDescent="0.35">
      <c r="A140" s="23" t="s">
        <v>232</v>
      </c>
    </row>
    <row r="141" spans="1:1" ht="14" customHeight="1" x14ac:dyDescent="0.35">
      <c r="A141" s="23" t="s">
        <v>233</v>
      </c>
    </row>
    <row r="142" spans="1:1" ht="14" customHeight="1" x14ac:dyDescent="0.35">
      <c r="A142" s="23" t="s">
        <v>234</v>
      </c>
    </row>
    <row r="143" spans="1:1" ht="14" customHeight="1" x14ac:dyDescent="0.35">
      <c r="A143" s="23" t="s">
        <v>235</v>
      </c>
    </row>
    <row r="144" spans="1:1" ht="14" customHeight="1" x14ac:dyDescent="0.35">
      <c r="A144" s="23"/>
    </row>
    <row r="145" spans="1:1" ht="14" customHeight="1" x14ac:dyDescent="0.35">
      <c r="A145" s="23" t="s">
        <v>236</v>
      </c>
    </row>
    <row r="146" spans="1:1" ht="14" customHeight="1" x14ac:dyDescent="0.35">
      <c r="A146" s="23" t="s">
        <v>237</v>
      </c>
    </row>
    <row r="147" spans="1:1" ht="14" customHeight="1" x14ac:dyDescent="0.35">
      <c r="A147" s="23" t="s">
        <v>238</v>
      </c>
    </row>
    <row r="148" spans="1:1" ht="14" customHeight="1" x14ac:dyDescent="0.35">
      <c r="A148" s="23" t="s">
        <v>239</v>
      </c>
    </row>
    <row r="149" spans="1:1" ht="14" customHeight="1" x14ac:dyDescent="0.35">
      <c r="A149" s="23"/>
    </row>
    <row r="150" spans="1:1" ht="14" customHeight="1" x14ac:dyDescent="0.35">
      <c r="A150" s="23" t="s">
        <v>240</v>
      </c>
    </row>
    <row r="151" spans="1:1" ht="14" customHeight="1" x14ac:dyDescent="0.35">
      <c r="A151" s="23" t="s">
        <v>241</v>
      </c>
    </row>
    <row r="152" spans="1:1" ht="14" customHeight="1" x14ac:dyDescent="0.35">
      <c r="A152" s="23" t="s">
        <v>242</v>
      </c>
    </row>
    <row r="153" spans="1:1" ht="14" customHeight="1" x14ac:dyDescent="0.35">
      <c r="A153" s="23" t="s">
        <v>243</v>
      </c>
    </row>
    <row r="154" spans="1:1" ht="14" customHeight="1" x14ac:dyDescent="0.35">
      <c r="A154" s="23" t="s">
        <v>244</v>
      </c>
    </row>
    <row r="155" spans="1:1" ht="14" customHeight="1" x14ac:dyDescent="0.35">
      <c r="A155" s="23" t="s">
        <v>147</v>
      </c>
    </row>
    <row r="156" spans="1:1" ht="14" customHeight="1" x14ac:dyDescent="0.35">
      <c r="A156" s="23"/>
    </row>
    <row r="157" spans="1:1" ht="14" customHeight="1" x14ac:dyDescent="0.35">
      <c r="A157" s="23" t="s">
        <v>245</v>
      </c>
    </row>
    <row r="158" spans="1:1" ht="14" customHeight="1" x14ac:dyDescent="0.35">
      <c r="A158" s="23" t="s">
        <v>246</v>
      </c>
    </row>
    <row r="159" spans="1:1" ht="14" customHeight="1" x14ac:dyDescent="0.35">
      <c r="A159" s="23" t="s">
        <v>191</v>
      </c>
    </row>
    <row r="160" spans="1:1" ht="14" customHeight="1" x14ac:dyDescent="0.35">
      <c r="A160" s="23"/>
    </row>
    <row r="161" spans="1:1" ht="14" customHeight="1" x14ac:dyDescent="0.35">
      <c r="A161" s="23" t="s">
        <v>125</v>
      </c>
    </row>
    <row r="162" spans="1:1" ht="14" customHeight="1" x14ac:dyDescent="0.35">
      <c r="A162" s="23" t="s">
        <v>247</v>
      </c>
    </row>
    <row r="163" spans="1:1" ht="14" customHeight="1" x14ac:dyDescent="0.35">
      <c r="A163" s="23" t="s">
        <v>125</v>
      </c>
    </row>
    <row r="164" spans="1:1" ht="14" customHeight="1" x14ac:dyDescent="0.35">
      <c r="A164" s="23" t="s">
        <v>248</v>
      </c>
    </row>
    <row r="165" spans="1:1" ht="14" customHeight="1" x14ac:dyDescent="0.35">
      <c r="A165" s="23"/>
    </row>
    <row r="166" spans="1:1" ht="14" customHeight="1" x14ac:dyDescent="0.35">
      <c r="A166" s="23" t="s">
        <v>249</v>
      </c>
    </row>
    <row r="167" spans="1:1" ht="14" customHeight="1" x14ac:dyDescent="0.35">
      <c r="A167" s="23" t="s">
        <v>250</v>
      </c>
    </row>
    <row r="168" spans="1:1" ht="14" customHeight="1" x14ac:dyDescent="0.35">
      <c r="A168" s="23" t="s">
        <v>251</v>
      </c>
    </row>
    <row r="169" spans="1:1" ht="14" customHeight="1" x14ac:dyDescent="0.35">
      <c r="A169" s="23" t="s">
        <v>252</v>
      </c>
    </row>
    <row r="170" spans="1:1" ht="14" customHeight="1" x14ac:dyDescent="0.35">
      <c r="A170" s="23"/>
    </row>
    <row r="171" spans="1:1" ht="14" customHeight="1" x14ac:dyDescent="0.35">
      <c r="A171" s="23" t="s">
        <v>253</v>
      </c>
    </row>
    <row r="172" spans="1:1" ht="14" customHeight="1" x14ac:dyDescent="0.35">
      <c r="A172" s="23" t="s">
        <v>254</v>
      </c>
    </row>
    <row r="173" spans="1:1" ht="14" customHeight="1" x14ac:dyDescent="0.35">
      <c r="A173" s="23" t="s">
        <v>255</v>
      </c>
    </row>
    <row r="174" spans="1:1" ht="14" customHeight="1" x14ac:dyDescent="0.35">
      <c r="A174" s="23" t="s">
        <v>256</v>
      </c>
    </row>
    <row r="175" spans="1:1" ht="14" customHeight="1" x14ac:dyDescent="0.35">
      <c r="A175" s="23" t="s">
        <v>146</v>
      </c>
    </row>
    <row r="176" spans="1:1" ht="14" customHeight="1" x14ac:dyDescent="0.35">
      <c r="A176" s="23" t="s">
        <v>147</v>
      </c>
    </row>
    <row r="177" spans="1:1" ht="14" customHeight="1" x14ac:dyDescent="0.35">
      <c r="A177" s="23"/>
    </row>
    <row r="178" spans="1:1" ht="14" customHeight="1" x14ac:dyDescent="0.35">
      <c r="A178" s="23" t="s">
        <v>257</v>
      </c>
    </row>
    <row r="179" spans="1:1" ht="14" customHeight="1" x14ac:dyDescent="0.35">
      <c r="A179" s="23" t="s">
        <v>258</v>
      </c>
    </row>
    <row r="180" spans="1:1" ht="14" customHeight="1" x14ac:dyDescent="0.35">
      <c r="A180" s="23" t="s">
        <v>259</v>
      </c>
    </row>
    <row r="181" spans="1:1" ht="14" customHeight="1" x14ac:dyDescent="0.35">
      <c r="A181" s="23" t="s">
        <v>260</v>
      </c>
    </row>
    <row r="182" spans="1:1" ht="14" customHeight="1" x14ac:dyDescent="0.35">
      <c r="A182" s="23" t="s">
        <v>261</v>
      </c>
    </row>
    <row r="183" spans="1:1" ht="14" customHeight="1" x14ac:dyDescent="0.35">
      <c r="A183" s="23"/>
    </row>
    <row r="184" spans="1:1" ht="14" customHeight="1" x14ac:dyDescent="0.35">
      <c r="A184" s="23" t="s">
        <v>262</v>
      </c>
    </row>
    <row r="185" spans="1:1" ht="14" customHeight="1" x14ac:dyDescent="0.35">
      <c r="A185" s="23" t="s">
        <v>263</v>
      </c>
    </row>
    <row r="186" spans="1:1" ht="14" customHeight="1" x14ac:dyDescent="0.35">
      <c r="A186" s="23" t="s">
        <v>264</v>
      </c>
    </row>
    <row r="187" spans="1:1" ht="14" customHeight="1" x14ac:dyDescent="0.35">
      <c r="A187" s="23" t="s">
        <v>265</v>
      </c>
    </row>
    <row r="188" spans="1:1" ht="14" customHeight="1" x14ac:dyDescent="0.35">
      <c r="A188" s="23" t="s">
        <v>266</v>
      </c>
    </row>
    <row r="189" spans="1:1" ht="14" customHeight="1" x14ac:dyDescent="0.35">
      <c r="A189" s="23" t="s">
        <v>267</v>
      </c>
    </row>
    <row r="190" spans="1:1" ht="14" customHeight="1" x14ac:dyDescent="0.35">
      <c r="A190" s="23"/>
    </row>
    <row r="191" spans="1:1" ht="14" customHeight="1" x14ac:dyDescent="0.35">
      <c r="A191" s="23" t="s">
        <v>268</v>
      </c>
    </row>
    <row r="192" spans="1:1" ht="14" customHeight="1" x14ac:dyDescent="0.35">
      <c r="A192" s="23" t="s">
        <v>269</v>
      </c>
    </row>
    <row r="193" spans="1:1" ht="14" customHeight="1" x14ac:dyDescent="0.35">
      <c r="A193" s="23" t="s">
        <v>270</v>
      </c>
    </row>
    <row r="194" spans="1:1" ht="14" customHeight="1" x14ac:dyDescent="0.35">
      <c r="A194" s="23" t="s">
        <v>271</v>
      </c>
    </row>
    <row r="195" spans="1:1" ht="14" customHeight="1" x14ac:dyDescent="0.35">
      <c r="A195" s="23" t="s">
        <v>272</v>
      </c>
    </row>
    <row r="196" spans="1:1" ht="14" customHeight="1" x14ac:dyDescent="0.35">
      <c r="A196" s="23"/>
    </row>
    <row r="197" spans="1:1" ht="14" customHeight="1" x14ac:dyDescent="0.35">
      <c r="A197" s="23" t="s">
        <v>273</v>
      </c>
    </row>
    <row r="198" spans="1:1" ht="14" customHeight="1" x14ac:dyDescent="0.35">
      <c r="A198" s="23" t="s">
        <v>274</v>
      </c>
    </row>
    <row r="199" spans="1:1" ht="14" customHeight="1" x14ac:dyDescent="0.35">
      <c r="A199" s="23" t="s">
        <v>275</v>
      </c>
    </row>
    <row r="200" spans="1:1" ht="14" customHeight="1" x14ac:dyDescent="0.35">
      <c r="A200" s="23"/>
    </row>
    <row r="201" spans="1:1" ht="14" customHeight="1" x14ac:dyDescent="0.35">
      <c r="A201" s="23" t="s">
        <v>276</v>
      </c>
    </row>
    <row r="202" spans="1:1" ht="14" customHeight="1" x14ac:dyDescent="0.35">
      <c r="A202" s="23" t="s">
        <v>277</v>
      </c>
    </row>
    <row r="203" spans="1:1" ht="14" customHeight="1" x14ac:dyDescent="0.35">
      <c r="A203" s="23" t="s">
        <v>278</v>
      </c>
    </row>
    <row r="204" spans="1:1" ht="14" customHeight="1" x14ac:dyDescent="0.35">
      <c r="A204" s="23" t="s">
        <v>279</v>
      </c>
    </row>
    <row r="205" spans="1:1" ht="14" customHeight="1" x14ac:dyDescent="0.35">
      <c r="A205" s="23"/>
    </row>
    <row r="206" spans="1:1" ht="14" customHeight="1" x14ac:dyDescent="0.35">
      <c r="A206" s="23" t="s">
        <v>280</v>
      </c>
    </row>
    <row r="207" spans="1:1" ht="14" customHeight="1" x14ac:dyDescent="0.35">
      <c r="A207" s="23" t="s">
        <v>281</v>
      </c>
    </row>
    <row r="208" spans="1:1" ht="14" customHeight="1" x14ac:dyDescent="0.35">
      <c r="A208" s="23" t="s">
        <v>282</v>
      </c>
    </row>
    <row r="209" spans="1:1" ht="14" customHeight="1" x14ac:dyDescent="0.35">
      <c r="A209" s="23" t="s">
        <v>283</v>
      </c>
    </row>
    <row r="210" spans="1:1" ht="14" customHeight="1" x14ac:dyDescent="0.35">
      <c r="A210" s="23" t="s">
        <v>284</v>
      </c>
    </row>
    <row r="211" spans="1:1" ht="14" customHeight="1" x14ac:dyDescent="0.35">
      <c r="A211" s="23" t="s">
        <v>285</v>
      </c>
    </row>
    <row r="212" spans="1:1" ht="14" customHeight="1" x14ac:dyDescent="0.35">
      <c r="A212" s="23" t="s">
        <v>286</v>
      </c>
    </row>
    <row r="213" spans="1:1" ht="14" customHeight="1" x14ac:dyDescent="0.35">
      <c r="A213" s="23"/>
    </row>
    <row r="214" spans="1:1" ht="14" customHeight="1" x14ac:dyDescent="0.35">
      <c r="A214" s="23" t="s">
        <v>287</v>
      </c>
    </row>
    <row r="215" spans="1:1" ht="14" customHeight="1" x14ac:dyDescent="0.35">
      <c r="A215" s="23" t="s">
        <v>288</v>
      </c>
    </row>
    <row r="216" spans="1:1" ht="14" customHeight="1" x14ac:dyDescent="0.35">
      <c r="A216" s="23" t="s">
        <v>289</v>
      </c>
    </row>
    <row r="217" spans="1:1" ht="14" customHeight="1" x14ac:dyDescent="0.35">
      <c r="A217" s="23" t="s">
        <v>290</v>
      </c>
    </row>
    <row r="218" spans="1:1" ht="14" customHeight="1" x14ac:dyDescent="0.35">
      <c r="A218" s="23" t="s">
        <v>284</v>
      </c>
    </row>
    <row r="219" spans="1:1" ht="14" customHeight="1" x14ac:dyDescent="0.35">
      <c r="A219" s="23" t="s">
        <v>291</v>
      </c>
    </row>
    <row r="220" spans="1:1" ht="14" customHeight="1" x14ac:dyDescent="0.35">
      <c r="A220" s="23" t="s">
        <v>286</v>
      </c>
    </row>
    <row r="221" spans="1:1" ht="14" customHeight="1" x14ac:dyDescent="0.35">
      <c r="A221" s="23"/>
    </row>
    <row r="222" spans="1:1" ht="14" customHeight="1" x14ac:dyDescent="0.35">
      <c r="A222" s="23" t="s">
        <v>292</v>
      </c>
    </row>
    <row r="223" spans="1:1" ht="14" customHeight="1" x14ac:dyDescent="0.35">
      <c r="A223" s="23" t="s">
        <v>293</v>
      </c>
    </row>
    <row r="224" spans="1:1" ht="14" customHeight="1" x14ac:dyDescent="0.35">
      <c r="A224" s="23"/>
    </row>
    <row r="225" spans="1:1" ht="14" customHeight="1" x14ac:dyDescent="0.35">
      <c r="A225" s="23" t="s">
        <v>294</v>
      </c>
    </row>
    <row r="226" spans="1:1" ht="14" customHeight="1" x14ac:dyDescent="0.35">
      <c r="A226" s="23" t="s">
        <v>295</v>
      </c>
    </row>
    <row r="227" spans="1:1" ht="14" customHeight="1" x14ac:dyDescent="0.35">
      <c r="A227" s="23" t="s">
        <v>296</v>
      </c>
    </row>
    <row r="228" spans="1:1" ht="14" customHeight="1" x14ac:dyDescent="0.35">
      <c r="A228" s="23" t="s">
        <v>297</v>
      </c>
    </row>
    <row r="229" spans="1:1" ht="14" customHeight="1" x14ac:dyDescent="0.35">
      <c r="A229" s="23" t="s">
        <v>298</v>
      </c>
    </row>
    <row r="230" spans="1:1" ht="14" customHeight="1" x14ac:dyDescent="0.35">
      <c r="A230" s="23" t="s">
        <v>284</v>
      </c>
    </row>
    <row r="231" spans="1:1" ht="14" customHeight="1" x14ac:dyDescent="0.35">
      <c r="A231" s="23" t="s">
        <v>299</v>
      </c>
    </row>
    <row r="232" spans="1:1" ht="14" customHeight="1" x14ac:dyDescent="0.35">
      <c r="A232" s="23" t="s">
        <v>286</v>
      </c>
    </row>
    <row r="233" spans="1:1" ht="14" customHeight="1" x14ac:dyDescent="0.35">
      <c r="A233" s="23" t="s">
        <v>300</v>
      </c>
    </row>
    <row r="234" spans="1:1" ht="14" customHeight="1" x14ac:dyDescent="0.35">
      <c r="A234" s="23"/>
    </row>
    <row r="235" spans="1:1" ht="14" customHeight="1" x14ac:dyDescent="0.35">
      <c r="A235" s="23" t="s">
        <v>301</v>
      </c>
    </row>
    <row r="236" spans="1:1" ht="14" customHeight="1" x14ac:dyDescent="0.35">
      <c r="A236" s="23" t="s">
        <v>302</v>
      </c>
    </row>
    <row r="237" spans="1:1" ht="14" customHeight="1" x14ac:dyDescent="0.35">
      <c r="A237" s="23" t="s">
        <v>303</v>
      </c>
    </row>
    <row r="238" spans="1:1" ht="14" customHeight="1" x14ac:dyDescent="0.35">
      <c r="A238" s="23" t="s">
        <v>304</v>
      </c>
    </row>
    <row r="239" spans="1:1" ht="14" customHeight="1" x14ac:dyDescent="0.35">
      <c r="A239" s="23" t="s">
        <v>305</v>
      </c>
    </row>
    <row r="240" spans="1:1" ht="14" customHeight="1" x14ac:dyDescent="0.35">
      <c r="A240" s="23" t="s">
        <v>306</v>
      </c>
    </row>
    <row r="241" spans="1:1" ht="14" customHeight="1" x14ac:dyDescent="0.35">
      <c r="A241" s="23" t="s">
        <v>284</v>
      </c>
    </row>
    <row r="242" spans="1:1" ht="14" customHeight="1" x14ac:dyDescent="0.35">
      <c r="A242" s="23" t="s">
        <v>307</v>
      </c>
    </row>
    <row r="243" spans="1:1" ht="14" customHeight="1" x14ac:dyDescent="0.35">
      <c r="A243" s="23" t="s">
        <v>308</v>
      </c>
    </row>
    <row r="244" spans="1:1" ht="14" customHeight="1" x14ac:dyDescent="0.35">
      <c r="A244" s="23" t="s">
        <v>286</v>
      </c>
    </row>
    <row r="245" spans="1:1" ht="14" customHeight="1" x14ac:dyDescent="0.35">
      <c r="A245" s="23" t="s">
        <v>309</v>
      </c>
    </row>
    <row r="246" spans="1:1" ht="14" customHeight="1" x14ac:dyDescent="0.35">
      <c r="A246" s="23" t="s">
        <v>310</v>
      </c>
    </row>
    <row r="247" spans="1:1" ht="14" customHeight="1" x14ac:dyDescent="0.35">
      <c r="A247" s="23" t="s">
        <v>311</v>
      </c>
    </row>
    <row r="248" spans="1:1" ht="14" customHeight="1" x14ac:dyDescent="0.35">
      <c r="A248" s="23" t="s">
        <v>312</v>
      </c>
    </row>
    <row r="249" spans="1:1" ht="14" customHeight="1" x14ac:dyDescent="0.35">
      <c r="A249" s="23"/>
    </row>
    <row r="250" spans="1:1" ht="14" customHeight="1" x14ac:dyDescent="0.35">
      <c r="A250" s="23" t="s">
        <v>313</v>
      </c>
    </row>
    <row r="251" spans="1:1" ht="14" customHeight="1" x14ac:dyDescent="0.35">
      <c r="A251" s="23" t="s">
        <v>314</v>
      </c>
    </row>
    <row r="252" spans="1:1" ht="14" customHeight="1" x14ac:dyDescent="0.35">
      <c r="A252" s="23"/>
    </row>
    <row r="253" spans="1:1" ht="14" customHeight="1" x14ac:dyDescent="0.35">
      <c r="A253" s="23" t="s">
        <v>315</v>
      </c>
    </row>
    <row r="254" spans="1:1" ht="14" customHeight="1" x14ac:dyDescent="0.35">
      <c r="A254" s="23" t="s">
        <v>225</v>
      </c>
    </row>
    <row r="255" spans="1:1" ht="14" customHeight="1" x14ac:dyDescent="0.35">
      <c r="A255" s="23" t="s">
        <v>316</v>
      </c>
    </row>
    <row r="256" spans="1:1" ht="14" customHeight="1" x14ac:dyDescent="0.35">
      <c r="A256" s="23"/>
    </row>
    <row r="257" spans="1:1" ht="14" customHeight="1" x14ac:dyDescent="0.35">
      <c r="A257" s="23" t="s">
        <v>317</v>
      </c>
    </row>
    <row r="258" spans="1:1" ht="14" customHeight="1" x14ac:dyDescent="0.35">
      <c r="A258" s="23" t="s">
        <v>318</v>
      </c>
    </row>
    <row r="259" spans="1:1" ht="14" customHeight="1" x14ac:dyDescent="0.35">
      <c r="A259" s="23" t="s">
        <v>146</v>
      </c>
    </row>
    <row r="260" spans="1:1" ht="14" customHeight="1" x14ac:dyDescent="0.35">
      <c r="A260" s="23" t="s">
        <v>147</v>
      </c>
    </row>
    <row r="261" spans="1:1" ht="14" customHeight="1" x14ac:dyDescent="0.35">
      <c r="A261" s="23"/>
    </row>
    <row r="262" spans="1:1" ht="14" customHeight="1" x14ac:dyDescent="0.35">
      <c r="A262" s="23" t="s">
        <v>319</v>
      </c>
    </row>
    <row r="263" spans="1:1" ht="14" customHeight="1" x14ac:dyDescent="0.35">
      <c r="A263" s="23" t="s">
        <v>320</v>
      </c>
    </row>
    <row r="264" spans="1:1" ht="14" customHeight="1" x14ac:dyDescent="0.35">
      <c r="A264" s="23"/>
    </row>
    <row r="265" spans="1:1" ht="14" customHeight="1" x14ac:dyDescent="0.35">
      <c r="A265" s="23" t="s">
        <v>321</v>
      </c>
    </row>
    <row r="266" spans="1:1" ht="14" customHeight="1" x14ac:dyDescent="0.35">
      <c r="A266" s="23" t="s">
        <v>322</v>
      </c>
    </row>
    <row r="267" spans="1:1" ht="14" customHeight="1" x14ac:dyDescent="0.35">
      <c r="A267" s="23" t="s">
        <v>323</v>
      </c>
    </row>
    <row r="268" spans="1:1" ht="14" customHeight="1" x14ac:dyDescent="0.35">
      <c r="A268" s="23" t="s">
        <v>324</v>
      </c>
    </row>
    <row r="269" spans="1:1" ht="14" customHeight="1" x14ac:dyDescent="0.35">
      <c r="A269" s="23" t="s">
        <v>325</v>
      </c>
    </row>
    <row r="270" spans="1:1" ht="14" customHeight="1" x14ac:dyDescent="0.35">
      <c r="A270" s="23" t="s">
        <v>326</v>
      </c>
    </row>
    <row r="271" spans="1:1" ht="14" customHeight="1" x14ac:dyDescent="0.35">
      <c r="A271" s="23" t="s">
        <v>327</v>
      </c>
    </row>
    <row r="272" spans="1:1" ht="14" customHeight="1" x14ac:dyDescent="0.35">
      <c r="A272" s="23" t="s">
        <v>328</v>
      </c>
    </row>
    <row r="273" spans="1:1" ht="14" customHeight="1" x14ac:dyDescent="0.35">
      <c r="A273" s="23" t="s">
        <v>329</v>
      </c>
    </row>
    <row r="274" spans="1:1" ht="14" customHeight="1" x14ac:dyDescent="0.35">
      <c r="A274" s="23" t="s">
        <v>225</v>
      </c>
    </row>
    <row r="275" spans="1:1" ht="14" customHeight="1" x14ac:dyDescent="0.35">
      <c r="A275" s="23" t="s">
        <v>243</v>
      </c>
    </row>
    <row r="276" spans="1:1" ht="14" customHeight="1" x14ac:dyDescent="0.35">
      <c r="A276" s="23" t="s">
        <v>330</v>
      </c>
    </row>
    <row r="277" spans="1:1" ht="14" customHeight="1" x14ac:dyDescent="0.35">
      <c r="A277" s="23" t="s">
        <v>331</v>
      </c>
    </row>
    <row r="278" spans="1:1" ht="14" customHeight="1" x14ac:dyDescent="0.35">
      <c r="A278" s="23" t="s">
        <v>332</v>
      </c>
    </row>
    <row r="279" spans="1:1" ht="14" customHeight="1" x14ac:dyDescent="0.35">
      <c r="A279" s="23" t="s">
        <v>333</v>
      </c>
    </row>
    <row r="280" spans="1:1" ht="14" customHeight="1" x14ac:dyDescent="0.35">
      <c r="A280" s="23" t="s">
        <v>147</v>
      </c>
    </row>
    <row r="281" spans="1:1" ht="14" customHeight="1" x14ac:dyDescent="0.35">
      <c r="A281" s="23"/>
    </row>
    <row r="282" spans="1:1" ht="14" customHeight="1" x14ac:dyDescent="0.35">
      <c r="A282" s="23" t="s">
        <v>191</v>
      </c>
    </row>
    <row r="283" spans="1:1" ht="14" customHeight="1" x14ac:dyDescent="0.35">
      <c r="A283" s="23"/>
    </row>
    <row r="284" spans="1:1" ht="14" customHeight="1" x14ac:dyDescent="0.35">
      <c r="A284" s="23" t="s">
        <v>125</v>
      </c>
    </row>
    <row r="285" spans="1:1" ht="14" customHeight="1" x14ac:dyDescent="0.35">
      <c r="A285" s="23" t="s">
        <v>334</v>
      </c>
    </row>
    <row r="286" spans="1:1" ht="14" customHeight="1" x14ac:dyDescent="0.35">
      <c r="A286" s="23" t="s">
        <v>125</v>
      </c>
    </row>
    <row r="287" spans="1:1" ht="14" customHeight="1" x14ac:dyDescent="0.35">
      <c r="A287" s="23" t="s">
        <v>335</v>
      </c>
    </row>
    <row r="288" spans="1:1" ht="14" customHeight="1" x14ac:dyDescent="0.35">
      <c r="A288" s="23" t="s">
        <v>336</v>
      </c>
    </row>
    <row r="289" spans="1:1" ht="14" customHeight="1" x14ac:dyDescent="0.35">
      <c r="A289" s="23" t="s">
        <v>251</v>
      </c>
    </row>
    <row r="290" spans="1:1" ht="14" customHeight="1" x14ac:dyDescent="0.35">
      <c r="A290" s="23"/>
    </row>
    <row r="291" spans="1:1" ht="14" customHeight="1" x14ac:dyDescent="0.35">
      <c r="A291" s="23" t="s">
        <v>337</v>
      </c>
    </row>
    <row r="292" spans="1:1" ht="14" customHeight="1" x14ac:dyDescent="0.35">
      <c r="A292" s="23" t="s">
        <v>338</v>
      </c>
    </row>
    <row r="293" spans="1:1" ht="14" customHeight="1" x14ac:dyDescent="0.35">
      <c r="A293" s="23" t="s">
        <v>339</v>
      </c>
    </row>
    <row r="294" spans="1:1" ht="14" customHeight="1" x14ac:dyDescent="0.35">
      <c r="A294" s="23" t="s">
        <v>340</v>
      </c>
    </row>
    <row r="295" spans="1:1" ht="14" customHeight="1" x14ac:dyDescent="0.35">
      <c r="A295" s="23" t="s">
        <v>341</v>
      </c>
    </row>
    <row r="296" spans="1:1" ht="14" customHeight="1" x14ac:dyDescent="0.35">
      <c r="A296" s="23" t="s">
        <v>342</v>
      </c>
    </row>
    <row r="297" spans="1:1" ht="14" customHeight="1" x14ac:dyDescent="0.35">
      <c r="A297" s="23" t="s">
        <v>343</v>
      </c>
    </row>
    <row r="298" spans="1:1" ht="14" customHeight="1" x14ac:dyDescent="0.35">
      <c r="A298" s="23" t="s">
        <v>344</v>
      </c>
    </row>
    <row r="299" spans="1:1" ht="14" customHeight="1" x14ac:dyDescent="0.35">
      <c r="A299" s="23" t="s">
        <v>146</v>
      </c>
    </row>
    <row r="300" spans="1:1" ht="14" customHeight="1" x14ac:dyDescent="0.35">
      <c r="A300" s="23" t="s">
        <v>147</v>
      </c>
    </row>
    <row r="301" spans="1:1" ht="14" customHeight="1" x14ac:dyDescent="0.35">
      <c r="A301" s="23"/>
    </row>
    <row r="302" spans="1:1" ht="14" customHeight="1" x14ac:dyDescent="0.35">
      <c r="A302" s="23" t="s">
        <v>345</v>
      </c>
    </row>
    <row r="303" spans="1:1" ht="14" customHeight="1" x14ac:dyDescent="0.35">
      <c r="A303" s="23" t="s">
        <v>346</v>
      </c>
    </row>
    <row r="304" spans="1:1" ht="14" customHeight="1" x14ac:dyDescent="0.35">
      <c r="A304" s="23" t="s">
        <v>347</v>
      </c>
    </row>
    <row r="305" spans="1:1" ht="14" customHeight="1" x14ac:dyDescent="0.35">
      <c r="A305" s="23" t="s">
        <v>348</v>
      </c>
    </row>
    <row r="306" spans="1:1" ht="14" customHeight="1" x14ac:dyDescent="0.35">
      <c r="A306" s="23" t="s">
        <v>349</v>
      </c>
    </row>
    <row r="307" spans="1:1" ht="14" customHeight="1" x14ac:dyDescent="0.35">
      <c r="A307" s="23"/>
    </row>
    <row r="308" spans="1:1" ht="14" customHeight="1" x14ac:dyDescent="0.35">
      <c r="A308" s="23" t="s">
        <v>259</v>
      </c>
    </row>
    <row r="309" spans="1:1" ht="14" customHeight="1" x14ac:dyDescent="0.35">
      <c r="A309" s="23" t="s">
        <v>350</v>
      </c>
    </row>
    <row r="310" spans="1:1" ht="14" customHeight="1" x14ac:dyDescent="0.35">
      <c r="A310" s="23" t="s">
        <v>351</v>
      </c>
    </row>
    <row r="311" spans="1:1" ht="14" customHeight="1" x14ac:dyDescent="0.35">
      <c r="A311" s="23" t="s">
        <v>352</v>
      </c>
    </row>
    <row r="312" spans="1:1" ht="14" customHeight="1" x14ac:dyDescent="0.35">
      <c r="A312" s="23"/>
    </row>
    <row r="313" spans="1:1" ht="14" customHeight="1" x14ac:dyDescent="0.35">
      <c r="A313" s="23" t="s">
        <v>353</v>
      </c>
    </row>
    <row r="314" spans="1:1" ht="14" customHeight="1" x14ac:dyDescent="0.35">
      <c r="A314" s="23" t="s">
        <v>354</v>
      </c>
    </row>
    <row r="315" spans="1:1" ht="14" customHeight="1" x14ac:dyDescent="0.35">
      <c r="A315" s="23" t="s">
        <v>355</v>
      </c>
    </row>
    <row r="316" spans="1:1" ht="14" customHeight="1" x14ac:dyDescent="0.35">
      <c r="A316" s="23" t="s">
        <v>356</v>
      </c>
    </row>
    <row r="317" spans="1:1" ht="14" customHeight="1" x14ac:dyDescent="0.35">
      <c r="A317" s="23"/>
    </row>
    <row r="318" spans="1:1" ht="14" customHeight="1" x14ac:dyDescent="0.35">
      <c r="A318" s="23" t="s">
        <v>357</v>
      </c>
    </row>
    <row r="319" spans="1:1" ht="14" customHeight="1" x14ac:dyDescent="0.35">
      <c r="A319" s="23" t="s">
        <v>358</v>
      </c>
    </row>
    <row r="320" spans="1:1" ht="14" customHeight="1" x14ac:dyDescent="0.35">
      <c r="A320" s="23" t="s">
        <v>359</v>
      </c>
    </row>
    <row r="321" spans="1:1" ht="14" customHeight="1" x14ac:dyDescent="0.35">
      <c r="A321" s="23" t="s">
        <v>360</v>
      </c>
    </row>
    <row r="322" spans="1:1" ht="14" customHeight="1" x14ac:dyDescent="0.35">
      <c r="A322" s="23" t="s">
        <v>361</v>
      </c>
    </row>
    <row r="323" spans="1:1" ht="14" customHeight="1" x14ac:dyDescent="0.35">
      <c r="A323" s="23" t="s">
        <v>362</v>
      </c>
    </row>
    <row r="324" spans="1:1" ht="14" customHeight="1" x14ac:dyDescent="0.35">
      <c r="A324" s="23" t="s">
        <v>363</v>
      </c>
    </row>
    <row r="325" spans="1:1" ht="14" customHeight="1" x14ac:dyDescent="0.35">
      <c r="A325" s="23" t="s">
        <v>364</v>
      </c>
    </row>
    <row r="326" spans="1:1" ht="14" customHeight="1" x14ac:dyDescent="0.35">
      <c r="A326" s="23" t="s">
        <v>365</v>
      </c>
    </row>
    <row r="327" spans="1:1" ht="14" customHeight="1" x14ac:dyDescent="0.35">
      <c r="A327" s="23" t="s">
        <v>284</v>
      </c>
    </row>
    <row r="328" spans="1:1" ht="14" customHeight="1" x14ac:dyDescent="0.35">
      <c r="A328" s="23" t="s">
        <v>366</v>
      </c>
    </row>
    <row r="329" spans="1:1" ht="14" customHeight="1" x14ac:dyDescent="0.35">
      <c r="A329" s="23" t="s">
        <v>367</v>
      </c>
    </row>
    <row r="330" spans="1:1" ht="14" customHeight="1" x14ac:dyDescent="0.35">
      <c r="A330" s="23" t="s">
        <v>368</v>
      </c>
    </row>
    <row r="331" spans="1:1" ht="14" customHeight="1" x14ac:dyDescent="0.35">
      <c r="A331" s="23" t="s">
        <v>286</v>
      </c>
    </row>
    <row r="332" spans="1:1" ht="14" customHeight="1" x14ac:dyDescent="0.35">
      <c r="A332" s="23" t="s">
        <v>369</v>
      </c>
    </row>
    <row r="333" spans="1:1" ht="14" customHeight="1" x14ac:dyDescent="0.35">
      <c r="A333" s="23" t="s">
        <v>370</v>
      </c>
    </row>
    <row r="334" spans="1:1" ht="14" customHeight="1" x14ac:dyDescent="0.35">
      <c r="A334" s="23" t="s">
        <v>371</v>
      </c>
    </row>
    <row r="335" spans="1:1" ht="14" customHeight="1" x14ac:dyDescent="0.35">
      <c r="A335" s="23" t="s">
        <v>225</v>
      </c>
    </row>
    <row r="336" spans="1:1" ht="14" customHeight="1" x14ac:dyDescent="0.35">
      <c r="A336" s="23" t="s">
        <v>261</v>
      </c>
    </row>
    <row r="337" spans="1:1" ht="14" customHeight="1" x14ac:dyDescent="0.35">
      <c r="A337" s="23"/>
    </row>
    <row r="338" spans="1:1" ht="14" customHeight="1" x14ac:dyDescent="0.35">
      <c r="A338" s="23" t="s">
        <v>372</v>
      </c>
    </row>
    <row r="339" spans="1:1" ht="14" customHeight="1" x14ac:dyDescent="0.35">
      <c r="A339" s="23" t="s">
        <v>373</v>
      </c>
    </row>
    <row r="340" spans="1:1" ht="14" customHeight="1" x14ac:dyDescent="0.35">
      <c r="A340" s="23" t="s">
        <v>374</v>
      </c>
    </row>
    <row r="341" spans="1:1" ht="14" customHeight="1" x14ac:dyDescent="0.35">
      <c r="A341" s="23" t="s">
        <v>375</v>
      </c>
    </row>
    <row r="342" spans="1:1" ht="14" customHeight="1" x14ac:dyDescent="0.35">
      <c r="A342" s="23" t="s">
        <v>376</v>
      </c>
    </row>
    <row r="343" spans="1:1" ht="14" customHeight="1" x14ac:dyDescent="0.35">
      <c r="A343" s="23" t="s">
        <v>147</v>
      </c>
    </row>
    <row r="344" spans="1:1" ht="14" customHeight="1" x14ac:dyDescent="0.35">
      <c r="A344" s="23" t="s">
        <v>377</v>
      </c>
    </row>
    <row r="345" spans="1:1" ht="14" customHeight="1" x14ac:dyDescent="0.35">
      <c r="A345" s="23" t="s">
        <v>191</v>
      </c>
    </row>
    <row r="346" spans="1:1" ht="14" customHeight="1" x14ac:dyDescent="0.35">
      <c r="A346" s="23"/>
    </row>
    <row r="347" spans="1:1" ht="14" customHeight="1" x14ac:dyDescent="0.35">
      <c r="A347" s="23" t="s">
        <v>125</v>
      </c>
    </row>
    <row r="348" spans="1:1" ht="14" customHeight="1" x14ac:dyDescent="0.35">
      <c r="A348" s="23" t="s">
        <v>378</v>
      </c>
    </row>
    <row r="349" spans="1:1" ht="14" customHeight="1" x14ac:dyDescent="0.35">
      <c r="A349" s="23" t="s">
        <v>125</v>
      </c>
    </row>
    <row r="350" spans="1:1" ht="14" customHeight="1" x14ac:dyDescent="0.35">
      <c r="A350" s="23" t="s">
        <v>379</v>
      </c>
    </row>
    <row r="351" spans="1:1" ht="14" customHeight="1" x14ac:dyDescent="0.35">
      <c r="A351" s="23" t="s">
        <v>380</v>
      </c>
    </row>
    <row r="352" spans="1:1" ht="14" customHeight="1" x14ac:dyDescent="0.35">
      <c r="A352" s="23"/>
    </row>
    <row r="353" spans="1:1" ht="14" customHeight="1" x14ac:dyDescent="0.35">
      <c r="A353" s="23" t="s">
        <v>381</v>
      </c>
    </row>
    <row r="354" spans="1:1" ht="14" customHeight="1" x14ac:dyDescent="0.35">
      <c r="A354" s="23" t="s">
        <v>382</v>
      </c>
    </row>
    <row r="355" spans="1:1" ht="14" customHeight="1" x14ac:dyDescent="0.35">
      <c r="A355" s="23" t="s">
        <v>383</v>
      </c>
    </row>
    <row r="356" spans="1:1" ht="14" customHeight="1" x14ac:dyDescent="0.35">
      <c r="A356" s="23"/>
    </row>
    <row r="357" spans="1:1" ht="14" customHeight="1" x14ac:dyDescent="0.35">
      <c r="A357" s="23" t="s">
        <v>384</v>
      </c>
    </row>
    <row r="358" spans="1:1" ht="14" customHeight="1" x14ac:dyDescent="0.35">
      <c r="A358" s="23" t="s">
        <v>385</v>
      </c>
    </row>
    <row r="359" spans="1:1" ht="14" customHeight="1" x14ac:dyDescent="0.35">
      <c r="A359" s="23" t="s">
        <v>386</v>
      </c>
    </row>
    <row r="360" spans="1:1" ht="14" customHeight="1" x14ac:dyDescent="0.35">
      <c r="A360" s="23"/>
    </row>
    <row r="361" spans="1:1" ht="14" customHeight="1" x14ac:dyDescent="0.35">
      <c r="A361" s="23" t="s">
        <v>387</v>
      </c>
    </row>
    <row r="362" spans="1:1" ht="14" customHeight="1" x14ac:dyDescent="0.35">
      <c r="A362" s="23" t="s">
        <v>388</v>
      </c>
    </row>
    <row r="363" spans="1:1" ht="14" customHeight="1" x14ac:dyDescent="0.35">
      <c r="A363" s="23"/>
    </row>
    <row r="364" spans="1:1" ht="14" customHeight="1" x14ac:dyDescent="0.35">
      <c r="A364" s="23" t="s">
        <v>389</v>
      </c>
    </row>
    <row r="365" spans="1:1" ht="14" customHeight="1" x14ac:dyDescent="0.35">
      <c r="A365" s="23" t="s">
        <v>390</v>
      </c>
    </row>
    <row r="366" spans="1:1" ht="14" customHeight="1" x14ac:dyDescent="0.35">
      <c r="A366" s="23" t="s">
        <v>391</v>
      </c>
    </row>
    <row r="367" spans="1:1" ht="14" customHeight="1" x14ac:dyDescent="0.35">
      <c r="A367" s="23" t="s">
        <v>392</v>
      </c>
    </row>
    <row r="368" spans="1:1" ht="14" customHeight="1" x14ac:dyDescent="0.35">
      <c r="A368" s="23" t="s">
        <v>393</v>
      </c>
    </row>
    <row r="369" spans="1:1" ht="14" customHeight="1" x14ac:dyDescent="0.35">
      <c r="A369" s="23" t="s">
        <v>394</v>
      </c>
    </row>
    <row r="370" spans="1:1" ht="14" customHeight="1" x14ac:dyDescent="0.35">
      <c r="A370" s="23"/>
    </row>
    <row r="371" spans="1:1" ht="14" customHeight="1" x14ac:dyDescent="0.35">
      <c r="A371" s="23" t="s">
        <v>395</v>
      </c>
    </row>
    <row r="372" spans="1:1" ht="14" customHeight="1" x14ac:dyDescent="0.35">
      <c r="A372" s="23" t="s">
        <v>396</v>
      </c>
    </row>
    <row r="373" spans="1:1" ht="14" customHeight="1" x14ac:dyDescent="0.35">
      <c r="A373" s="23" t="s">
        <v>243</v>
      </c>
    </row>
    <row r="374" spans="1:1" ht="14" customHeight="1" x14ac:dyDescent="0.35">
      <c r="A374" s="23" t="s">
        <v>397</v>
      </c>
    </row>
    <row r="375" spans="1:1" ht="14" customHeight="1" x14ac:dyDescent="0.35">
      <c r="A375" s="23" t="s">
        <v>147</v>
      </c>
    </row>
    <row r="376" spans="1:1" ht="14" customHeight="1" x14ac:dyDescent="0.35">
      <c r="A376" s="23"/>
    </row>
    <row r="377" spans="1:1" ht="14" customHeight="1" x14ac:dyDescent="0.35">
      <c r="A377" s="23" t="s">
        <v>398</v>
      </c>
    </row>
    <row r="378" spans="1:1" ht="14" customHeight="1" x14ac:dyDescent="0.35">
      <c r="A378" s="23" t="s">
        <v>399</v>
      </c>
    </row>
    <row r="379" spans="1:1" ht="14" customHeight="1" x14ac:dyDescent="0.35">
      <c r="A379" s="23" t="s">
        <v>400</v>
      </c>
    </row>
    <row r="380" spans="1:1" ht="14" customHeight="1" x14ac:dyDescent="0.35">
      <c r="A380" s="23" t="s">
        <v>401</v>
      </c>
    </row>
    <row r="381" spans="1:1" ht="14" customHeight="1" x14ac:dyDescent="0.35">
      <c r="A381" s="23"/>
    </row>
    <row r="382" spans="1:1" ht="14" customHeight="1" x14ac:dyDescent="0.35">
      <c r="A382" s="23" t="s">
        <v>125</v>
      </c>
    </row>
    <row r="383" spans="1:1" ht="14" customHeight="1" x14ac:dyDescent="0.35">
      <c r="A383" s="23" t="s">
        <v>402</v>
      </c>
    </row>
    <row r="384" spans="1:1" ht="14" customHeight="1" x14ac:dyDescent="0.35">
      <c r="A384" s="23" t="s">
        <v>125</v>
      </c>
    </row>
    <row r="385" spans="1:1" ht="14" customHeight="1" x14ac:dyDescent="0.35">
      <c r="A385" s="23" t="s">
        <v>403</v>
      </c>
    </row>
    <row r="386" spans="1:1" ht="14" customHeight="1" x14ac:dyDescent="0.35">
      <c r="A386" s="23" t="s">
        <v>404</v>
      </c>
    </row>
    <row r="387" spans="1:1" ht="14" customHeight="1" x14ac:dyDescent="0.35">
      <c r="A387" s="23" t="s">
        <v>405</v>
      </c>
    </row>
    <row r="388" spans="1:1" ht="14" customHeight="1" x14ac:dyDescent="0.35">
      <c r="A388" s="23" t="s">
        <v>406</v>
      </c>
    </row>
    <row r="389" spans="1:1" ht="14" customHeight="1" x14ac:dyDescent="0.35">
      <c r="A389" s="23" t="s">
        <v>407</v>
      </c>
    </row>
    <row r="390" spans="1:1" ht="14" customHeight="1" x14ac:dyDescent="0.35">
      <c r="A390" s="23" t="s">
        <v>408</v>
      </c>
    </row>
    <row r="391" spans="1:1" ht="14" customHeight="1" x14ac:dyDescent="0.35">
      <c r="A391" s="23" t="s">
        <v>409</v>
      </c>
    </row>
    <row r="392" spans="1:1" ht="14" customHeight="1" x14ac:dyDescent="0.35">
      <c r="A392" s="23" t="s">
        <v>410</v>
      </c>
    </row>
    <row r="393" spans="1:1" ht="14" customHeight="1" x14ac:dyDescent="0.35">
      <c r="A393" s="23" t="s">
        <v>411</v>
      </c>
    </row>
    <row r="394" spans="1:1" ht="14" customHeight="1" x14ac:dyDescent="0.35">
      <c r="A394" s="23" t="s">
        <v>412</v>
      </c>
    </row>
    <row r="395" spans="1:1" ht="14" customHeight="1" x14ac:dyDescent="0.35">
      <c r="A395" s="23" t="s">
        <v>413</v>
      </c>
    </row>
    <row r="396" spans="1:1" ht="14" customHeight="1" x14ac:dyDescent="0.35">
      <c r="A396" s="23" t="s">
        <v>414</v>
      </c>
    </row>
    <row r="397" spans="1:1" ht="14" customHeight="1" x14ac:dyDescent="0.35">
      <c r="A397" s="23" t="s">
        <v>415</v>
      </c>
    </row>
    <row r="398" spans="1:1" ht="14" customHeight="1" x14ac:dyDescent="0.35">
      <c r="A398" s="23" t="s">
        <v>416</v>
      </c>
    </row>
    <row r="399" spans="1:1" ht="14" customHeight="1" x14ac:dyDescent="0.35">
      <c r="A399" s="23" t="s">
        <v>417</v>
      </c>
    </row>
    <row r="400" spans="1:1" ht="14" customHeight="1" x14ac:dyDescent="0.35">
      <c r="A400" s="23" t="s">
        <v>316</v>
      </c>
    </row>
    <row r="401" spans="1:1" ht="14" customHeight="1" x14ac:dyDescent="0.35">
      <c r="A401" s="23" t="s">
        <v>418</v>
      </c>
    </row>
    <row r="402" spans="1:1" ht="14" customHeight="1" x14ac:dyDescent="0.35">
      <c r="A402" s="23" t="s">
        <v>401</v>
      </c>
    </row>
    <row r="403" spans="1:1" ht="14" customHeight="1" x14ac:dyDescent="0.35">
      <c r="A403" s="23"/>
    </row>
    <row r="404" spans="1:1" ht="14" customHeight="1" x14ac:dyDescent="0.35">
      <c r="A404" s="23" t="s">
        <v>125</v>
      </c>
    </row>
    <row r="405" spans="1:1" ht="14" customHeight="1" x14ac:dyDescent="0.35">
      <c r="A405" s="23" t="s">
        <v>419</v>
      </c>
    </row>
    <row r="406" spans="1:1" ht="14" customHeight="1" x14ac:dyDescent="0.35">
      <c r="A406" s="23" t="s">
        <v>125</v>
      </c>
    </row>
    <row r="407" spans="1:1" ht="14" customHeight="1" x14ac:dyDescent="0.35">
      <c r="A407" s="23" t="s">
        <v>420</v>
      </c>
    </row>
    <row r="408" spans="1:1" ht="14" customHeight="1" x14ac:dyDescent="0.35">
      <c r="A408" s="23" t="s">
        <v>421</v>
      </c>
    </row>
    <row r="409" spans="1:1" ht="14" customHeight="1" x14ac:dyDescent="0.35">
      <c r="A409" s="23" t="s">
        <v>422</v>
      </c>
    </row>
    <row r="410" spans="1:1" ht="14" customHeight="1" x14ac:dyDescent="0.35">
      <c r="A410" s="23" t="s">
        <v>423</v>
      </c>
    </row>
    <row r="411" spans="1:1" ht="14" customHeight="1" x14ac:dyDescent="0.35">
      <c r="A411" s="23" t="s">
        <v>424</v>
      </c>
    </row>
    <row r="412" spans="1:1" ht="14" customHeight="1" x14ac:dyDescent="0.35">
      <c r="A412" s="23" t="s">
        <v>425</v>
      </c>
    </row>
    <row r="413" spans="1:1" ht="14" customHeight="1" x14ac:dyDescent="0.35">
      <c r="A413" s="23" t="s">
        <v>426</v>
      </c>
    </row>
    <row r="414" spans="1:1" ht="14" customHeight="1" x14ac:dyDescent="0.35">
      <c r="A414" s="23" t="s">
        <v>427</v>
      </c>
    </row>
    <row r="415" spans="1:1" ht="14" customHeight="1" x14ac:dyDescent="0.35">
      <c r="A415" s="23"/>
    </row>
    <row r="416" spans="1:1" ht="14" customHeight="1" x14ac:dyDescent="0.35">
      <c r="A416" s="23" t="s">
        <v>428</v>
      </c>
    </row>
    <row r="417" spans="1:1" ht="14" customHeight="1" x14ac:dyDescent="0.35">
      <c r="A417" s="23" t="s">
        <v>429</v>
      </c>
    </row>
    <row r="418" spans="1:1" ht="14" customHeight="1" x14ac:dyDescent="0.35">
      <c r="A418" s="23" t="s">
        <v>430</v>
      </c>
    </row>
    <row r="419" spans="1:1" ht="14" customHeight="1" x14ac:dyDescent="0.35">
      <c r="A419" s="23" t="s">
        <v>431</v>
      </c>
    </row>
    <row r="420" spans="1:1" ht="14" customHeight="1" x14ac:dyDescent="0.35">
      <c r="A420" s="23" t="s">
        <v>432</v>
      </c>
    </row>
    <row r="421" spans="1:1" ht="14" customHeight="1" x14ac:dyDescent="0.35">
      <c r="A421" s="23" t="s">
        <v>433</v>
      </c>
    </row>
    <row r="422" spans="1:1" ht="14" customHeight="1" x14ac:dyDescent="0.35">
      <c r="A422" s="23" t="s">
        <v>434</v>
      </c>
    </row>
    <row r="423" spans="1:1" ht="14" customHeight="1" x14ac:dyDescent="0.35">
      <c r="A423" s="23" t="s">
        <v>435</v>
      </c>
    </row>
    <row r="424" spans="1:1" ht="14" customHeight="1" x14ac:dyDescent="0.35">
      <c r="A424" s="23" t="s">
        <v>147</v>
      </c>
    </row>
    <row r="425" spans="1:1" ht="14" customHeight="1" x14ac:dyDescent="0.35">
      <c r="A425" s="23" t="s">
        <v>436</v>
      </c>
    </row>
    <row r="426" spans="1:1" ht="14" customHeight="1" x14ac:dyDescent="0.35">
      <c r="A426" s="23"/>
    </row>
    <row r="427" spans="1:1" ht="14" customHeight="1" x14ac:dyDescent="0.35">
      <c r="A427" s="23" t="s">
        <v>437</v>
      </c>
    </row>
    <row r="428" spans="1:1" ht="14" customHeight="1" x14ac:dyDescent="0.35">
      <c r="A428" s="23" t="s">
        <v>191</v>
      </c>
    </row>
    <row r="429" spans="1:1" ht="14" customHeight="1" x14ac:dyDescent="0.35">
      <c r="A429" s="23"/>
    </row>
    <row r="430" spans="1:1" ht="14" customHeight="1" x14ac:dyDescent="0.35">
      <c r="A430" s="23" t="s">
        <v>125</v>
      </c>
    </row>
    <row r="431" spans="1:1" ht="14" customHeight="1" x14ac:dyDescent="0.35">
      <c r="A431" s="23" t="s">
        <v>438</v>
      </c>
    </row>
    <row r="432" spans="1:1" ht="14" customHeight="1" x14ac:dyDescent="0.35">
      <c r="A432" s="23" t="s">
        <v>125</v>
      </c>
    </row>
    <row r="433" spans="1:1" ht="14" customHeight="1" x14ac:dyDescent="0.35">
      <c r="A433" s="23" t="s">
        <v>439</v>
      </c>
    </row>
    <row r="434" spans="1:1" ht="14" customHeight="1" x14ac:dyDescent="0.35">
      <c r="A434" s="23" t="s">
        <v>336</v>
      </c>
    </row>
    <row r="435" spans="1:1" ht="14" customHeight="1" x14ac:dyDescent="0.35">
      <c r="A435" s="23" t="s">
        <v>251</v>
      </c>
    </row>
    <row r="436" spans="1:1" ht="14" customHeight="1" x14ac:dyDescent="0.35">
      <c r="A436" s="23"/>
    </row>
    <row r="437" spans="1:1" ht="14" customHeight="1" x14ac:dyDescent="0.35">
      <c r="A437" s="23" t="s">
        <v>345</v>
      </c>
    </row>
    <row r="438" spans="1:1" ht="14" customHeight="1" x14ac:dyDescent="0.35">
      <c r="A438" s="23" t="s">
        <v>259</v>
      </c>
    </row>
    <row r="439" spans="1:1" ht="14" customHeight="1" x14ac:dyDescent="0.35">
      <c r="A439" s="23" t="s">
        <v>440</v>
      </c>
    </row>
    <row r="440" spans="1:1" ht="14" customHeight="1" x14ac:dyDescent="0.35">
      <c r="A440" s="23" t="s">
        <v>441</v>
      </c>
    </row>
    <row r="441" spans="1:1" ht="14" customHeight="1" x14ac:dyDescent="0.35">
      <c r="A441" s="23" t="s">
        <v>442</v>
      </c>
    </row>
    <row r="442" spans="1:1" ht="14" customHeight="1" x14ac:dyDescent="0.35">
      <c r="A442" s="23" t="s">
        <v>225</v>
      </c>
    </row>
    <row r="443" spans="1:1" ht="14" customHeight="1" x14ac:dyDescent="0.35">
      <c r="A443" s="23" t="s">
        <v>261</v>
      </c>
    </row>
    <row r="444" spans="1:1" ht="14" customHeight="1" x14ac:dyDescent="0.35">
      <c r="A444" s="23" t="s">
        <v>191</v>
      </c>
    </row>
    <row r="445" spans="1:1" ht="14" customHeight="1" x14ac:dyDescent="0.35">
      <c r="A445" s="23"/>
    </row>
    <row r="446" spans="1:1" ht="14" customHeight="1" x14ac:dyDescent="0.35">
      <c r="A446" s="23" t="s">
        <v>125</v>
      </c>
    </row>
    <row r="447" spans="1:1" ht="14" customHeight="1" x14ac:dyDescent="0.35">
      <c r="A447" s="23" t="s">
        <v>443</v>
      </c>
    </row>
    <row r="448" spans="1:1" ht="14" customHeight="1" x14ac:dyDescent="0.35">
      <c r="A448" s="23" t="s">
        <v>125</v>
      </c>
    </row>
    <row r="449" spans="1:1" ht="14" customHeight="1" x14ac:dyDescent="0.35">
      <c r="A449" s="23" t="s">
        <v>444</v>
      </c>
    </row>
    <row r="450" spans="1:1" ht="14" customHeight="1" x14ac:dyDescent="0.35">
      <c r="A450" s="23" t="s">
        <v>445</v>
      </c>
    </row>
    <row r="451" spans="1:1" ht="14" customHeight="1" x14ac:dyDescent="0.35">
      <c r="A451" s="23" t="s">
        <v>446</v>
      </c>
    </row>
    <row r="452" spans="1:1" ht="14" customHeight="1" x14ac:dyDescent="0.35">
      <c r="A452" s="23"/>
    </row>
    <row r="453" spans="1:1" ht="14" customHeight="1" x14ac:dyDescent="0.35">
      <c r="A453" s="23" t="s">
        <v>447</v>
      </c>
    </row>
    <row r="454" spans="1:1" ht="14" customHeight="1" x14ac:dyDescent="0.35">
      <c r="A454" s="23" t="s">
        <v>448</v>
      </c>
    </row>
    <row r="455" spans="1:1" ht="14" customHeight="1" x14ac:dyDescent="0.35">
      <c r="A455" s="23"/>
    </row>
    <row r="456" spans="1:1" ht="14" customHeight="1" x14ac:dyDescent="0.35">
      <c r="A456" s="23" t="s">
        <v>449</v>
      </c>
    </row>
    <row r="457" spans="1:1" ht="14" customHeight="1" x14ac:dyDescent="0.35">
      <c r="A457" s="23" t="s">
        <v>450</v>
      </c>
    </row>
    <row r="458" spans="1:1" ht="14" customHeight="1" x14ac:dyDescent="0.35">
      <c r="A458" s="23" t="s">
        <v>451</v>
      </c>
    </row>
    <row r="459" spans="1:1" ht="14" customHeight="1" x14ac:dyDescent="0.35">
      <c r="A459" s="23" t="s">
        <v>452</v>
      </c>
    </row>
    <row r="460" spans="1:1" ht="14" customHeight="1" x14ac:dyDescent="0.35">
      <c r="A460" s="23" t="s">
        <v>453</v>
      </c>
    </row>
    <row r="461" spans="1:1" ht="14" customHeight="1" x14ac:dyDescent="0.35">
      <c r="A461" s="23"/>
    </row>
    <row r="462" spans="1:1" ht="14" customHeight="1" x14ac:dyDescent="0.35">
      <c r="A462" s="23" t="s">
        <v>454</v>
      </c>
    </row>
    <row r="463" spans="1:1" ht="14" customHeight="1" x14ac:dyDescent="0.35">
      <c r="A463" s="23" t="s">
        <v>455</v>
      </c>
    </row>
    <row r="464" spans="1:1" ht="14" customHeight="1" x14ac:dyDescent="0.35">
      <c r="A464" s="23" t="s">
        <v>456</v>
      </c>
    </row>
    <row r="465" spans="1:1" ht="14" customHeight="1" x14ac:dyDescent="0.35">
      <c r="A465" s="23" t="s">
        <v>457</v>
      </c>
    </row>
    <row r="466" spans="1:1" ht="14" customHeight="1" x14ac:dyDescent="0.35">
      <c r="A466" s="23" t="s">
        <v>458</v>
      </c>
    </row>
    <row r="467" spans="1:1" ht="14" customHeight="1" x14ac:dyDescent="0.35">
      <c r="A467" s="23" t="s">
        <v>459</v>
      </c>
    </row>
    <row r="468" spans="1:1" ht="14" customHeight="1" x14ac:dyDescent="0.35">
      <c r="A468" s="23" t="s">
        <v>453</v>
      </c>
    </row>
    <row r="469" spans="1:1" ht="14" customHeight="1" x14ac:dyDescent="0.35">
      <c r="A469" s="23"/>
    </row>
    <row r="470" spans="1:1" ht="14" customHeight="1" x14ac:dyDescent="0.35">
      <c r="A470" s="23" t="s">
        <v>460</v>
      </c>
    </row>
    <row r="471" spans="1:1" ht="14" customHeight="1" x14ac:dyDescent="0.35">
      <c r="A471" s="23" t="s">
        <v>461</v>
      </c>
    </row>
    <row r="472" spans="1:1" ht="14" customHeight="1" x14ac:dyDescent="0.35">
      <c r="A472" s="23" t="s">
        <v>462</v>
      </c>
    </row>
    <row r="473" spans="1:1" ht="14" customHeight="1" x14ac:dyDescent="0.35">
      <c r="A473" s="23" t="s">
        <v>463</v>
      </c>
    </row>
    <row r="474" spans="1:1" ht="14" customHeight="1" x14ac:dyDescent="0.35">
      <c r="A474" s="23" t="s">
        <v>464</v>
      </c>
    </row>
    <row r="475" spans="1:1" ht="14" customHeight="1" x14ac:dyDescent="0.35">
      <c r="A475" s="23" t="s">
        <v>465</v>
      </c>
    </row>
    <row r="476" spans="1:1" ht="14" customHeight="1" x14ac:dyDescent="0.35">
      <c r="A476" s="23" t="s">
        <v>453</v>
      </c>
    </row>
    <row r="477" spans="1:1" ht="14" customHeight="1" x14ac:dyDescent="0.35">
      <c r="A477" s="23"/>
    </row>
    <row r="478" spans="1:1" ht="14" customHeight="1" x14ac:dyDescent="0.35">
      <c r="A478" s="23" t="s">
        <v>466</v>
      </c>
    </row>
    <row r="479" spans="1:1" ht="14" customHeight="1" x14ac:dyDescent="0.35">
      <c r="A479" s="23" t="s">
        <v>467</v>
      </c>
    </row>
    <row r="480" spans="1:1" ht="14" customHeight="1" x14ac:dyDescent="0.35">
      <c r="A480" s="23" t="s">
        <v>468</v>
      </c>
    </row>
    <row r="481" spans="1:1" ht="14" customHeight="1" x14ac:dyDescent="0.35">
      <c r="A481" s="23"/>
    </row>
    <row r="482" spans="1:1" ht="14" customHeight="1" x14ac:dyDescent="0.35">
      <c r="A482" s="23" t="s">
        <v>469</v>
      </c>
    </row>
    <row r="483" spans="1:1" ht="14" customHeight="1" x14ac:dyDescent="0.35">
      <c r="A483" s="23" t="s">
        <v>401</v>
      </c>
    </row>
    <row r="484" spans="1:1" ht="14" customHeight="1" x14ac:dyDescent="0.35">
      <c r="A484" s="23"/>
    </row>
  </sheetData>
  <mergeCells count="1">
    <mergeCell ref="A1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05A6BA-B3FB-49C8-80EC-A9335F9412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Client Database</vt:lpstr>
      <vt:lpstr>Session Log (2)</vt:lpstr>
      <vt:lpstr>Session Log</vt:lpstr>
      <vt:lpstr>Message Centre</vt:lpstr>
      <vt:lpstr>Ready to Send</vt:lpstr>
      <vt:lpstr>Payment Tracker</vt:lpstr>
      <vt:lpstr>Setup Guide</vt:lpstr>
      <vt:lpstr>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Krystian Rozanski</cp:lastModifiedBy>
  <cp:revision>0</cp:revision>
  <dcterms:created xsi:type="dcterms:W3CDTF">2026-04-14T03:21:40Z</dcterms:created>
  <dcterms:modified xsi:type="dcterms:W3CDTF">2026-04-21T08:44:42Z</dcterms:modified>
  <dc:language>en-US</dc:language>
</cp:coreProperties>
</file>