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cab3e30f59fa8b2/FPT/"/>
    </mc:Choice>
  </mc:AlternateContent>
  <xr:revisionPtr revIDLastSave="1253" documentId="11_0B1D56BE9CDCCE836B02CE7A5FB0D4A9BBFD1C62" xr6:coauthVersionLast="47" xr6:coauthVersionMax="47" xr10:uidLastSave="{EE9FCCF6-C203-4670-B809-D6FCEB9423E4}"/>
  <bookViews>
    <workbookView xWindow="-110" yWindow="-110" windowWidth="19420" windowHeight="11500" firstSheet="1" xr2:uid="{00000000-000D-0000-FFFF-FFFF00000000}"/>
  </bookViews>
  <sheets>
    <sheet name="FPT" sheetId="1" r:id="rId1"/>
    <sheet name="Person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J13" i="2"/>
  <c r="I13" i="2"/>
  <c r="H13" i="2"/>
  <c r="G13" i="2"/>
  <c r="F13" i="2"/>
  <c r="E13" i="2"/>
  <c r="D13" i="2"/>
  <c r="C13" i="2"/>
  <c r="B13" i="2"/>
  <c r="K7" i="2"/>
  <c r="K16" i="2" s="1"/>
  <c r="J7" i="2"/>
  <c r="J16" i="2" s="1"/>
  <c r="I7" i="2"/>
  <c r="I16" i="2" s="1"/>
  <c r="H7" i="2"/>
  <c r="H16" i="2" s="1"/>
  <c r="G7" i="2"/>
  <c r="G16" i="2" s="1"/>
  <c r="F7" i="2"/>
  <c r="F16" i="2" s="1"/>
  <c r="E7" i="2"/>
  <c r="E16" i="2" s="1"/>
  <c r="D7" i="2"/>
  <c r="D16" i="2" s="1"/>
  <c r="C7" i="2"/>
  <c r="C16" i="2" s="1"/>
  <c r="B7" i="2"/>
  <c r="B16" i="2" s="1"/>
  <c r="L16" i="1"/>
  <c r="F9" i="1"/>
  <c r="M6" i="1"/>
  <c r="M5" i="1"/>
  <c r="H5" i="1"/>
  <c r="M4" i="1"/>
  <c r="H4" i="1"/>
  <c r="N3" i="1"/>
  <c r="B15" i="1" l="1"/>
  <c r="B17" i="2"/>
  <c r="C17" i="2"/>
  <c r="D17" i="2"/>
  <c r="E17" i="2"/>
  <c r="F17" i="2"/>
  <c r="G17" i="2"/>
  <c r="H17" i="2"/>
  <c r="I17" i="2"/>
  <c r="J17" i="2"/>
  <c r="K17" i="2"/>
</calcChain>
</file>

<file path=xl/sharedStrings.xml><?xml version="1.0" encoding="utf-8"?>
<sst xmlns="http://schemas.openxmlformats.org/spreadsheetml/2006/main" count="130" uniqueCount="84">
  <si>
    <t>Financial Doc</t>
  </si>
  <si>
    <t>Finances</t>
  </si>
  <si>
    <t>Sessions</t>
  </si>
  <si>
    <t>Monthly Payslips</t>
  </si>
  <si>
    <t>Notes</t>
  </si>
  <si>
    <t>Revenue</t>
  </si>
  <si>
    <t>Expense</t>
  </si>
  <si>
    <t>profit</t>
  </si>
  <si>
    <t>Drafting</t>
  </si>
  <si>
    <t>primary</t>
  </si>
  <si>
    <t>secondary</t>
  </si>
  <si>
    <t>tertiary</t>
  </si>
  <si>
    <t>total</t>
  </si>
  <si>
    <t>Christy</t>
  </si>
  <si>
    <t>Joshna</t>
  </si>
  <si>
    <t>Gia</t>
  </si>
  <si>
    <t>Column1</t>
  </si>
  <si>
    <t>Column2</t>
  </si>
  <si>
    <t>Primary</t>
  </si>
  <si>
    <t>Secondary</t>
  </si>
  <si>
    <t>Tertiary</t>
  </si>
  <si>
    <t>Total</t>
  </si>
  <si>
    <t>Jan</t>
  </si>
  <si>
    <t>N/A</t>
  </si>
  <si>
    <t>*ran advertisement facebook ad at end of Jan ($150)</t>
  </si>
  <si>
    <t>Sessions Completed</t>
  </si>
  <si>
    <t>Feb</t>
  </si>
  <si>
    <t>Revenue generated</t>
  </si>
  <si>
    <t>Mar</t>
  </si>
  <si>
    <t>N/a</t>
  </si>
  <si>
    <t>*Started university</t>
  </si>
  <si>
    <t>Cyclone alfred</t>
  </si>
  <si>
    <t>Apr</t>
  </si>
  <si>
    <t>* School holidays</t>
  </si>
  <si>
    <t>Expenses</t>
  </si>
  <si>
    <t>May</t>
  </si>
  <si>
    <t>Jun</t>
  </si>
  <si>
    <t>Payroll</t>
  </si>
  <si>
    <t>Jul</t>
  </si>
  <si>
    <t>Fuel</t>
  </si>
  <si>
    <t>Car Maintainence</t>
  </si>
  <si>
    <t>Blue Card</t>
  </si>
  <si>
    <t>Aug</t>
  </si>
  <si>
    <t>Personal Expenses</t>
  </si>
  <si>
    <t>Sep</t>
  </si>
  <si>
    <t>Oct</t>
  </si>
  <si>
    <t>Nov</t>
  </si>
  <si>
    <t>n/a</t>
  </si>
  <si>
    <t>Profit</t>
  </si>
  <si>
    <t xml:space="preserve">  </t>
  </si>
  <si>
    <t>Total profit</t>
  </si>
  <si>
    <t>Was in Japan</t>
  </si>
  <si>
    <t>first two weeks in japan</t>
  </si>
  <si>
    <t>Q1</t>
  </si>
  <si>
    <t>Q2</t>
  </si>
  <si>
    <t>Q3</t>
  </si>
  <si>
    <t>Q4</t>
  </si>
  <si>
    <t>Dec</t>
  </si>
  <si>
    <t>Business</t>
  </si>
  <si>
    <t>Job</t>
  </si>
  <si>
    <t>Alternate</t>
  </si>
  <si>
    <t>80 fuel</t>
  </si>
  <si>
    <t>40 car rego and service fund</t>
  </si>
  <si>
    <t>Stock</t>
  </si>
  <si>
    <t>100 travel</t>
  </si>
  <si>
    <t>Deposit</t>
  </si>
  <si>
    <t>Car Maintenance</t>
  </si>
  <si>
    <t>Travel</t>
  </si>
  <si>
    <t>Rent</t>
  </si>
  <si>
    <t>left overs</t>
  </si>
  <si>
    <t>debt</t>
  </si>
  <si>
    <t>tax</t>
  </si>
  <si>
    <t>taxable income from 2025 for 2025-2026</t>
  </si>
  <si>
    <t>do not include 1000 doolars from 2025 income (cash)</t>
  </si>
  <si>
    <t>claim 3000 for scholarship</t>
  </si>
  <si>
    <t>all dividend earnings</t>
  </si>
  <si>
    <t xml:space="preserve">claim 80% of car value </t>
  </si>
  <si>
    <t>either a depreciable or entirty</t>
  </si>
  <si>
    <t>claim 80% of fuel</t>
  </si>
  <si>
    <t>salary sacrifice</t>
  </si>
  <si>
    <t>if i earn over 23882 or 45001, then contribute 11% to super</t>
  </si>
  <si>
    <t>claim asset losses</t>
  </si>
  <si>
    <t>1160 cash from feb</t>
  </si>
  <si>
    <t>term 1 end 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</si>
</sst>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-[$$-409]* #,##0.00_ ;_-[$$-409]* \-#,##0.00\ ;_-[$$-409]* &quot;-&quot;??_ ;_-@_ "/>
    <numFmt numFmtId="165" formatCode="_([$$-409]* #,##0.00_);_([$$-409]* \(#,##0.00\);_([$$-409]* &quot;-&quot;??_);_(@_)"/>
    <numFmt numFmtId="168" formatCode="&quot;$&quot;#,##0.00"/>
  </numFmts>
  <fonts count="7">
    <font>
      <sz val="11"/>
      <color rgb="FF000000"/>
      <name val="Aptos Narrow"/>
      <family val="2"/>
      <scheme val="minor"/>
    </font>
    <font>
      <sz val="11"/>
      <color rgb="FFE8E8E8"/>
      <name val="Google Sans"/>
    </font>
    <font>
      <b/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242424"/>
      <name val="Aptos Narrow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EA72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44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44" fontId="0" fillId="3" borderId="0" xfId="0" applyNumberFormat="1" applyFill="1"/>
    <xf numFmtId="0" fontId="2" fillId="0" borderId="0" xfId="0" applyFont="1"/>
    <xf numFmtId="0" fontId="2" fillId="3" borderId="0" xfId="0" applyFont="1" applyFill="1"/>
    <xf numFmtId="0" fontId="3" fillId="3" borderId="0" xfId="0" applyFont="1" applyFill="1"/>
    <xf numFmtId="165" fontId="4" fillId="0" borderId="0" xfId="0" applyNumberFormat="1" applyFont="1"/>
    <xf numFmtId="165" fontId="0" fillId="0" borderId="0" xfId="0" applyNumberFormat="1"/>
    <xf numFmtId="0" fontId="5" fillId="3" borderId="0" xfId="0" applyFont="1" applyFill="1"/>
    <xf numFmtId="0" fontId="5" fillId="4" borderId="0" xfId="0" applyFont="1" applyFill="1"/>
    <xf numFmtId="164" fontId="0" fillId="4" borderId="0" xfId="0" applyNumberFormat="1" applyFill="1"/>
    <xf numFmtId="164" fontId="6" fillId="3" borderId="0" xfId="0" applyNumberFormat="1" applyFont="1" applyFill="1"/>
    <xf numFmtId="0" fontId="0" fillId="4" borderId="0" xfId="0" applyFill="1"/>
    <xf numFmtId="0" fontId="3" fillId="4" borderId="0" xfId="0" applyFont="1" applyFill="1"/>
    <xf numFmtId="0" fontId="2" fillId="4" borderId="0" xfId="0" applyFont="1" applyFill="1"/>
    <xf numFmtId="168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4EA72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638D1F-D7A2-4297-B3C8-B65E4EE264D8}" name="Table1" displayName="Table1" ref="B3:H11" totalsRowShown="0" headerRowDxfId="0">
  <autoFilter ref="B3:H11" xr:uid="{7E638D1F-D7A2-4297-B3C8-B65E4EE264D8}"/>
  <tableColumns count="7">
    <tableColumn id="1" xr3:uid="{86D49FBD-40BB-4638-8C64-037B68EF82BB}" name="Column1"/>
    <tableColumn id="2" xr3:uid="{A36732CC-766F-4E92-8D5F-AB6C9936F71D}" name="Column2"/>
    <tableColumn id="3" xr3:uid="{83A84800-51AC-4DE0-9F2D-901292DB8DE6}" name="Primary"/>
    <tableColumn id="4" xr3:uid="{119BEDA7-5D56-4031-8128-DADCFA5B43A5}" name="Secondary"/>
    <tableColumn id="5" xr3:uid="{97E8D8E3-6EFF-4948-AC13-8FAE65C8F4B9}" name="Tertiary"/>
    <tableColumn id="6" xr3:uid="{A42DDF6B-DC6D-430D-AE89-A4D1289C5187}" name="Drafting"/>
    <tableColumn id="7" xr3:uid="{0598B6C1-FF5F-43FC-BEC8-B8A8ADD46301}" name="Tot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28"/>
  <sheetViews>
    <sheetView tabSelected="1" workbookViewId="0">
      <selection activeCell="F15" sqref="F15"/>
    </sheetView>
  </sheetViews>
  <sheetFormatPr defaultRowHeight="14.5"/>
  <cols>
    <col min="2" max="2" width="19.1796875" bestFit="1" customWidth="1"/>
    <col min="3" max="3" width="11" bestFit="1" customWidth="1"/>
    <col min="4" max="4" width="15.81640625" bestFit="1" customWidth="1"/>
    <col min="5" max="5" width="12.1796875" bestFit="1" customWidth="1"/>
    <col min="6" max="6" width="12.26953125" customWidth="1"/>
    <col min="7" max="7" width="10.453125" bestFit="1" customWidth="1"/>
    <col min="8" max="8" width="10.453125" customWidth="1"/>
    <col min="11" max="11" width="10" bestFit="1" customWidth="1"/>
    <col min="12" max="12" width="12.81640625" customWidth="1"/>
    <col min="13" max="14" width="10.453125" bestFit="1" customWidth="1"/>
    <col min="16" max="16" width="9.7265625" bestFit="1" customWidth="1"/>
  </cols>
  <sheetData>
    <row r="1" spans="2:28">
      <c r="D1" s="8" t="s">
        <v>0</v>
      </c>
      <c r="L1" t="s">
        <v>1</v>
      </c>
      <c r="P1" t="s">
        <v>2</v>
      </c>
      <c r="U1" t="s">
        <v>3</v>
      </c>
      <c r="Y1" t="s">
        <v>4</v>
      </c>
    </row>
    <row r="2" spans="2:28"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U2" t="s">
        <v>13</v>
      </c>
      <c r="V2" t="s">
        <v>14</v>
      </c>
      <c r="W2" t="s">
        <v>15</v>
      </c>
    </row>
    <row r="3" spans="2:28">
      <c r="B3" s="17" t="s">
        <v>16</v>
      </c>
      <c r="C3" s="17" t="s">
        <v>17</v>
      </c>
      <c r="D3" s="18" t="s">
        <v>18</v>
      </c>
      <c r="E3" s="18" t="s">
        <v>19</v>
      </c>
      <c r="F3" s="18" t="s">
        <v>20</v>
      </c>
      <c r="G3" s="18" t="s">
        <v>8</v>
      </c>
      <c r="H3" s="18" t="s">
        <v>21</v>
      </c>
      <c r="J3">
        <v>2025</v>
      </c>
      <c r="K3" t="s">
        <v>22</v>
      </c>
      <c r="L3" s="12">
        <v>285</v>
      </c>
      <c r="M3" s="12">
        <v>285.2</v>
      </c>
      <c r="N3" s="4">
        <f>-(0.2)</f>
        <v>-0.2</v>
      </c>
      <c r="P3">
        <v>6</v>
      </c>
      <c r="Q3">
        <v>0</v>
      </c>
      <c r="R3">
        <v>0</v>
      </c>
      <c r="S3">
        <v>6</v>
      </c>
      <c r="U3" t="s">
        <v>23</v>
      </c>
      <c r="V3" s="4">
        <v>80</v>
      </c>
      <c r="W3" t="s">
        <v>23</v>
      </c>
      <c r="Y3" t="s">
        <v>24</v>
      </c>
      <c r="Z3" s="1"/>
      <c r="AA3" s="1"/>
    </row>
    <row r="4" spans="2:28">
      <c r="B4" s="19" t="s">
        <v>25</v>
      </c>
      <c r="C4" s="17"/>
      <c r="D4" s="17"/>
      <c r="E4" s="17"/>
      <c r="F4" s="17"/>
      <c r="G4" s="17"/>
      <c r="H4" s="17">
        <f>D4+E4+F4+G4</f>
        <v>0</v>
      </c>
      <c r="K4" t="s">
        <v>26</v>
      </c>
      <c r="L4" s="12">
        <v>2015</v>
      </c>
      <c r="M4" s="12">
        <f>525+67.2</f>
        <v>592.20000000000005</v>
      </c>
      <c r="N4" s="4">
        <v>1422.8</v>
      </c>
      <c r="P4">
        <v>11</v>
      </c>
      <c r="Q4">
        <v>23</v>
      </c>
      <c r="R4">
        <v>0</v>
      </c>
      <c r="S4">
        <v>34</v>
      </c>
      <c r="U4" s="12">
        <v>250</v>
      </c>
      <c r="V4" s="12">
        <v>275</v>
      </c>
      <c r="W4" t="s">
        <v>23</v>
      </c>
      <c r="Z4" s="1"/>
      <c r="AA4" s="1"/>
    </row>
    <row r="5" spans="2:28">
      <c r="B5" s="19" t="s">
        <v>27</v>
      </c>
      <c r="C5" s="17"/>
      <c r="D5" s="15"/>
      <c r="E5" s="15"/>
      <c r="F5" s="15"/>
      <c r="G5" s="15"/>
      <c r="H5" s="15">
        <f>D5+E5+F5+G5</f>
        <v>0</v>
      </c>
      <c r="K5" t="s">
        <v>28</v>
      </c>
      <c r="L5" s="11">
        <v>2205</v>
      </c>
      <c r="M5" s="12">
        <f>780+67.2</f>
        <v>847.2</v>
      </c>
      <c r="N5" s="4">
        <v>1357.8</v>
      </c>
      <c r="O5">
        <v>1</v>
      </c>
      <c r="P5" t="s">
        <v>29</v>
      </c>
      <c r="Q5" t="s">
        <v>29</v>
      </c>
      <c r="R5" t="s">
        <v>29</v>
      </c>
      <c r="S5">
        <v>28</v>
      </c>
      <c r="U5" s="12">
        <v>375</v>
      </c>
      <c r="V5" s="12">
        <v>405</v>
      </c>
      <c r="W5" t="s">
        <v>23</v>
      </c>
      <c r="Y5" t="s">
        <v>30</v>
      </c>
      <c r="Z5" s="1"/>
      <c r="AA5" s="1"/>
      <c r="AB5" t="s">
        <v>31</v>
      </c>
    </row>
    <row r="6" spans="2:28">
      <c r="K6" t="s">
        <v>32</v>
      </c>
      <c r="L6" s="4">
        <v>1430</v>
      </c>
      <c r="M6" s="4">
        <f>615+67.2</f>
        <v>682.2</v>
      </c>
      <c r="N6" s="4">
        <v>747.8</v>
      </c>
      <c r="O6">
        <v>0</v>
      </c>
      <c r="P6">
        <v>2</v>
      </c>
      <c r="Q6">
        <v>20</v>
      </c>
      <c r="R6">
        <v>0</v>
      </c>
      <c r="S6">
        <v>22</v>
      </c>
      <c r="U6" s="4">
        <v>175</v>
      </c>
      <c r="V6" s="4">
        <v>305</v>
      </c>
      <c r="W6" s="4">
        <v>135</v>
      </c>
      <c r="Y6" t="s">
        <v>33</v>
      </c>
      <c r="Z6" s="1"/>
      <c r="AA6" s="1"/>
    </row>
    <row r="7" spans="2:28">
      <c r="D7" s="8" t="s">
        <v>34</v>
      </c>
      <c r="K7" t="s">
        <v>35</v>
      </c>
      <c r="L7" s="3">
        <v>3745</v>
      </c>
      <c r="M7" s="3">
        <v>1387.2</v>
      </c>
      <c r="N7" s="3">
        <v>2357.8000000000002</v>
      </c>
      <c r="O7">
        <v>0</v>
      </c>
      <c r="P7">
        <v>4</v>
      </c>
      <c r="Q7">
        <v>53</v>
      </c>
      <c r="R7">
        <v>0</v>
      </c>
      <c r="S7">
        <v>57</v>
      </c>
      <c r="U7" s="3">
        <v>350</v>
      </c>
      <c r="V7" s="3">
        <v>745</v>
      </c>
      <c r="W7" s="3">
        <v>225</v>
      </c>
      <c r="Z7" s="1"/>
      <c r="AA7" s="1"/>
    </row>
    <row r="8" spans="2:28">
      <c r="B8" s="5"/>
      <c r="C8" s="10"/>
      <c r="D8" s="10"/>
      <c r="E8" s="10" t="s">
        <v>15</v>
      </c>
      <c r="F8" s="5" t="s">
        <v>21</v>
      </c>
      <c r="G8" s="5"/>
      <c r="K8" t="s">
        <v>36</v>
      </c>
      <c r="L8" s="3">
        <v>2635</v>
      </c>
      <c r="M8" s="3">
        <v>897.2</v>
      </c>
      <c r="N8" s="4">
        <v>1737.8</v>
      </c>
      <c r="O8">
        <v>0</v>
      </c>
      <c r="P8">
        <v>7</v>
      </c>
      <c r="Q8">
        <v>37</v>
      </c>
      <c r="R8">
        <v>0</v>
      </c>
      <c r="S8">
        <v>44</v>
      </c>
      <c r="U8" s="3">
        <v>180</v>
      </c>
      <c r="V8" s="3">
        <v>425</v>
      </c>
      <c r="W8" s="3">
        <v>225</v>
      </c>
      <c r="Y8" t="s">
        <v>33</v>
      </c>
    </row>
    <row r="9" spans="2:28">
      <c r="B9" s="9" t="s">
        <v>37</v>
      </c>
      <c r="C9" s="6"/>
      <c r="D9" s="6"/>
      <c r="E9" s="6"/>
      <c r="F9" s="6">
        <f>SUM(Table1[[#This Row],[Column2]:[Secondary]])</f>
        <v>0</v>
      </c>
      <c r="G9" s="5"/>
      <c r="K9" t="s">
        <v>38</v>
      </c>
      <c r="L9" s="4">
        <v>1615</v>
      </c>
      <c r="M9" s="4">
        <v>201.2</v>
      </c>
      <c r="N9" s="4">
        <v>1413.8</v>
      </c>
      <c r="O9">
        <v>0</v>
      </c>
      <c r="P9">
        <v>6</v>
      </c>
      <c r="Q9">
        <v>20</v>
      </c>
      <c r="R9">
        <v>0</v>
      </c>
      <c r="S9">
        <v>26</v>
      </c>
      <c r="U9" s="4">
        <v>50</v>
      </c>
      <c r="V9" s="4" t="s">
        <v>23</v>
      </c>
      <c r="W9" s="4">
        <v>130</v>
      </c>
    </row>
    <row r="10" spans="2:28">
      <c r="B10" s="5"/>
      <c r="C10" s="10" t="s">
        <v>39</v>
      </c>
      <c r="D10" s="10" t="s">
        <v>40</v>
      </c>
      <c r="E10" s="10" t="s">
        <v>41</v>
      </c>
      <c r="F10" s="10"/>
      <c r="G10" s="10"/>
      <c r="K10" t="s">
        <v>42</v>
      </c>
      <c r="L10" s="4">
        <v>3430</v>
      </c>
      <c r="M10" s="4">
        <v>360</v>
      </c>
      <c r="N10" s="4">
        <v>3048.8</v>
      </c>
      <c r="O10">
        <v>0</v>
      </c>
      <c r="P10">
        <v>12</v>
      </c>
      <c r="Q10">
        <v>42</v>
      </c>
      <c r="R10">
        <v>0</v>
      </c>
      <c r="S10">
        <v>54</v>
      </c>
      <c r="U10" s="4">
        <v>50</v>
      </c>
      <c r="V10" s="4" t="s">
        <v>23</v>
      </c>
      <c r="W10" s="4">
        <v>310</v>
      </c>
      <c r="X10" s="2"/>
    </row>
    <row r="11" spans="2:28">
      <c r="B11" s="9" t="s">
        <v>43</v>
      </c>
      <c r="C11" s="6"/>
      <c r="D11" s="6"/>
      <c r="E11" s="6"/>
      <c r="F11" s="6"/>
      <c r="G11" s="7"/>
      <c r="K11" t="s">
        <v>44</v>
      </c>
      <c r="L11" s="3">
        <v>1835</v>
      </c>
      <c r="M11" s="3">
        <v>231.2</v>
      </c>
      <c r="N11" s="3">
        <v>1603.8</v>
      </c>
      <c r="O11">
        <v>0</v>
      </c>
      <c r="P11">
        <v>8</v>
      </c>
      <c r="Q11">
        <v>20</v>
      </c>
      <c r="R11">
        <v>0</v>
      </c>
      <c r="S11">
        <v>0</v>
      </c>
      <c r="U11" t="s">
        <v>23</v>
      </c>
      <c r="V11" t="s">
        <v>23</v>
      </c>
      <c r="W11" s="3">
        <v>210</v>
      </c>
    </row>
    <row r="12" spans="2:28">
      <c r="K12" t="s">
        <v>45</v>
      </c>
      <c r="L12" s="4">
        <v>3777.5</v>
      </c>
      <c r="M12" s="4">
        <v>296.2</v>
      </c>
      <c r="N12" s="4">
        <v>3481.3</v>
      </c>
      <c r="O12">
        <v>0</v>
      </c>
      <c r="P12">
        <v>3</v>
      </c>
      <c r="Q12">
        <v>51</v>
      </c>
      <c r="R12">
        <v>0</v>
      </c>
      <c r="S12">
        <v>54</v>
      </c>
      <c r="U12" t="s">
        <v>23</v>
      </c>
      <c r="V12" t="s">
        <v>23</v>
      </c>
      <c r="W12" s="4">
        <v>275</v>
      </c>
    </row>
    <row r="13" spans="2:28">
      <c r="K13" t="s">
        <v>46</v>
      </c>
      <c r="L13" s="4">
        <v>3842.5</v>
      </c>
      <c r="M13" s="4">
        <v>256.2</v>
      </c>
      <c r="N13" s="4">
        <v>3586.3</v>
      </c>
      <c r="O13">
        <v>0</v>
      </c>
      <c r="P13">
        <v>6</v>
      </c>
      <c r="Q13">
        <v>44</v>
      </c>
      <c r="R13">
        <v>0</v>
      </c>
      <c r="S13">
        <v>50</v>
      </c>
      <c r="U13" t="s">
        <v>47</v>
      </c>
      <c r="V13" t="s">
        <v>47</v>
      </c>
      <c r="W13" s="4">
        <v>235</v>
      </c>
    </row>
    <row r="14" spans="2:28">
      <c r="B14" s="8" t="s">
        <v>48</v>
      </c>
      <c r="C14" s="4" t="s">
        <v>49</v>
      </c>
    </row>
    <row r="15" spans="2:28">
      <c r="B15" s="4">
        <f>H5-(G11+F9)</f>
        <v>0</v>
      </c>
    </row>
    <row r="16" spans="2:28">
      <c r="D16" s="4"/>
      <c r="E16" s="12"/>
      <c r="K16" t="s">
        <v>50</v>
      </c>
      <c r="L16" s="4">
        <f>SUM(N3:N13)</f>
        <v>20757.8</v>
      </c>
    </row>
    <row r="17" spans="3:23">
      <c r="F17" s="4"/>
      <c r="L17" t="s">
        <v>5</v>
      </c>
      <c r="M17" t="s">
        <v>6</v>
      </c>
      <c r="N17" t="s">
        <v>7</v>
      </c>
      <c r="O17" t="s">
        <v>8</v>
      </c>
      <c r="P17" t="s">
        <v>9</v>
      </c>
      <c r="Q17" t="s">
        <v>10</v>
      </c>
      <c r="R17" t="s">
        <v>11</v>
      </c>
      <c r="S17" t="s">
        <v>12</v>
      </c>
    </row>
    <row r="18" spans="3:23">
      <c r="D18" s="4"/>
      <c r="J18">
        <v>2026</v>
      </c>
      <c r="K18" t="s">
        <v>22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51</v>
      </c>
    </row>
    <row r="19" spans="3:23">
      <c r="C19" s="12"/>
      <c r="D19" s="4"/>
      <c r="E19" s="12"/>
      <c r="K19" t="s">
        <v>26</v>
      </c>
      <c r="L19" s="4">
        <v>2615</v>
      </c>
      <c r="M19" s="4">
        <v>0</v>
      </c>
      <c r="N19" s="4">
        <v>2615</v>
      </c>
      <c r="O19">
        <v>0</v>
      </c>
      <c r="P19">
        <v>5</v>
      </c>
      <c r="Q19">
        <v>29</v>
      </c>
      <c r="R19">
        <v>0</v>
      </c>
      <c r="S19">
        <v>34</v>
      </c>
      <c r="U19" t="s">
        <v>52</v>
      </c>
    </row>
    <row r="20" spans="3:23">
      <c r="K20" t="s">
        <v>28</v>
      </c>
      <c r="L20" s="20">
        <v>3675</v>
      </c>
      <c r="N20" s="20">
        <v>3675</v>
      </c>
      <c r="O20">
        <v>0</v>
      </c>
      <c r="P20" s="21">
        <v>5</v>
      </c>
      <c r="Q20">
        <v>45</v>
      </c>
      <c r="R20">
        <v>0</v>
      </c>
      <c r="S20">
        <v>50</v>
      </c>
    </row>
    <row r="21" spans="3:23">
      <c r="K21" t="s">
        <v>32</v>
      </c>
      <c r="U21" t="s">
        <v>83</v>
      </c>
    </row>
    <row r="22" spans="3:23">
      <c r="K22" t="s">
        <v>35</v>
      </c>
    </row>
    <row r="23" spans="3:23">
      <c r="K23" t="s">
        <v>36</v>
      </c>
    </row>
    <row r="24" spans="3:23">
      <c r="K24" t="s">
        <v>38</v>
      </c>
    </row>
    <row r="25" spans="3:23">
      <c r="K25" t="s">
        <v>42</v>
      </c>
    </row>
    <row r="26" spans="3:23">
      <c r="K26" t="s">
        <v>44</v>
      </c>
    </row>
    <row r="27" spans="3:23">
      <c r="K27" t="s">
        <v>45</v>
      </c>
    </row>
    <row r="28" spans="3:23">
      <c r="G28" s="3"/>
      <c r="K28" t="s">
        <v>46</v>
      </c>
      <c r="O28" s="3"/>
      <c r="W28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FC325-A300-4122-A9E2-68450DBC47F0}">
  <dimension ref="A2:P29"/>
  <sheetViews>
    <sheetView workbookViewId="0">
      <selection activeCell="B21" sqref="B21"/>
    </sheetView>
  </sheetViews>
  <sheetFormatPr defaultRowHeight="14.5"/>
  <cols>
    <col min="1" max="1" width="15.81640625" bestFit="1" customWidth="1"/>
    <col min="2" max="13" width="11.453125" bestFit="1" customWidth="1"/>
  </cols>
  <sheetData>
    <row r="2" spans="1:16">
      <c r="C2" t="s">
        <v>53</v>
      </c>
      <c r="F2" t="s">
        <v>54</v>
      </c>
      <c r="I2" t="s">
        <v>55</v>
      </c>
      <c r="L2" t="s">
        <v>56</v>
      </c>
    </row>
    <row r="3" spans="1:16">
      <c r="B3" t="s">
        <v>28</v>
      </c>
      <c r="C3" t="s">
        <v>32</v>
      </c>
      <c r="D3" t="s">
        <v>35</v>
      </c>
      <c r="E3" t="s">
        <v>36</v>
      </c>
      <c r="F3" t="s">
        <v>38</v>
      </c>
      <c r="G3" t="s">
        <v>42</v>
      </c>
      <c r="H3" t="s">
        <v>44</v>
      </c>
      <c r="I3" t="s">
        <v>45</v>
      </c>
      <c r="J3" t="s">
        <v>46</v>
      </c>
      <c r="K3" t="s">
        <v>57</v>
      </c>
    </row>
    <row r="4" spans="1:16">
      <c r="A4" s="17" t="s">
        <v>58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6">
      <c r="A5" s="17" t="s">
        <v>59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6">
      <c r="A6" s="17" t="s">
        <v>60</v>
      </c>
      <c r="B6" s="15">
        <v>954.2</v>
      </c>
      <c r="C6" s="15">
        <v>954.2</v>
      </c>
      <c r="D6" s="15">
        <v>954.2</v>
      </c>
      <c r="E6" s="15">
        <v>954.2</v>
      </c>
      <c r="F6" s="15">
        <v>954.2</v>
      </c>
      <c r="G6" s="15">
        <v>954.2</v>
      </c>
      <c r="H6" s="15">
        <v>954.2</v>
      </c>
      <c r="I6" s="15">
        <v>954.2</v>
      </c>
      <c r="J6" s="15">
        <v>954.2</v>
      </c>
      <c r="K6" s="15">
        <v>954.2</v>
      </c>
      <c r="P6" t="s">
        <v>61</v>
      </c>
    </row>
    <row r="7" spans="1:16">
      <c r="A7" s="14" t="s">
        <v>21</v>
      </c>
      <c r="B7" s="15">
        <f t="shared" ref="B7:K7" si="0">SUM(B4:B6)</f>
        <v>954.2</v>
      </c>
      <c r="C7" s="15">
        <f t="shared" si="0"/>
        <v>954.2</v>
      </c>
      <c r="D7" s="15">
        <f t="shared" si="0"/>
        <v>954.2</v>
      </c>
      <c r="E7" s="15">
        <f t="shared" si="0"/>
        <v>954.2</v>
      </c>
      <c r="F7" s="15">
        <f t="shared" si="0"/>
        <v>954.2</v>
      </c>
      <c r="G7" s="15">
        <f t="shared" si="0"/>
        <v>954.2</v>
      </c>
      <c r="H7" s="15">
        <f t="shared" si="0"/>
        <v>954.2</v>
      </c>
      <c r="I7" s="15">
        <f t="shared" si="0"/>
        <v>954.2</v>
      </c>
      <c r="J7" s="15">
        <f t="shared" si="0"/>
        <v>954.2</v>
      </c>
      <c r="K7" s="15">
        <f t="shared" si="0"/>
        <v>954.2</v>
      </c>
      <c r="P7" t="s">
        <v>62</v>
      </c>
    </row>
    <row r="8" spans="1:16">
      <c r="A8" s="13" t="s">
        <v>63</v>
      </c>
      <c r="B8" s="6">
        <v>650</v>
      </c>
      <c r="C8" s="6">
        <v>650</v>
      </c>
      <c r="D8" s="6">
        <v>650</v>
      </c>
      <c r="E8" s="6">
        <v>650</v>
      </c>
      <c r="F8" s="6">
        <v>650</v>
      </c>
      <c r="G8" s="6">
        <v>650</v>
      </c>
      <c r="H8" s="6">
        <v>650</v>
      </c>
      <c r="I8" s="6">
        <v>650</v>
      </c>
      <c r="J8" s="6">
        <v>650</v>
      </c>
      <c r="K8" s="6">
        <v>650</v>
      </c>
      <c r="P8" t="s">
        <v>64</v>
      </c>
    </row>
    <row r="9" spans="1:16">
      <c r="A9" s="13" t="s">
        <v>65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6">
      <c r="A10" s="13" t="s">
        <v>66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6">
      <c r="A11" s="13" t="s">
        <v>67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6">
      <c r="A12" s="5" t="s">
        <v>68</v>
      </c>
      <c r="B12" s="6">
        <v>320</v>
      </c>
      <c r="C12" s="6">
        <v>320</v>
      </c>
      <c r="D12" s="6">
        <v>320</v>
      </c>
      <c r="E12" s="6">
        <v>320</v>
      </c>
      <c r="F12" s="6">
        <v>320</v>
      </c>
      <c r="G12" s="6">
        <v>320</v>
      </c>
      <c r="H12" s="6">
        <v>320</v>
      </c>
      <c r="I12" s="6">
        <v>320</v>
      </c>
      <c r="J12" s="6">
        <v>320</v>
      </c>
      <c r="K12" s="6">
        <v>320</v>
      </c>
    </row>
    <row r="13" spans="1:16">
      <c r="A13" s="5" t="s">
        <v>21</v>
      </c>
      <c r="B13" s="6">
        <f t="shared" ref="B13:K13" si="1">SUM(B8:B12)</f>
        <v>970</v>
      </c>
      <c r="C13" s="6">
        <f t="shared" si="1"/>
        <v>970</v>
      </c>
      <c r="D13" s="6">
        <f t="shared" si="1"/>
        <v>970</v>
      </c>
      <c r="E13" s="6">
        <f t="shared" si="1"/>
        <v>970</v>
      </c>
      <c r="F13" s="6">
        <f t="shared" si="1"/>
        <v>970</v>
      </c>
      <c r="G13" s="6">
        <f t="shared" si="1"/>
        <v>970</v>
      </c>
      <c r="H13" s="6">
        <f t="shared" si="1"/>
        <v>970</v>
      </c>
      <c r="I13" s="6">
        <f t="shared" si="1"/>
        <v>970</v>
      </c>
      <c r="J13" s="6">
        <f t="shared" si="1"/>
        <v>970</v>
      </c>
      <c r="K13" s="6">
        <f t="shared" si="1"/>
        <v>970</v>
      </c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</row>
    <row r="16" spans="1:16">
      <c r="A16" s="17" t="s">
        <v>69</v>
      </c>
      <c r="B16" s="15" t="str">
        <f t="shared" ref="B16:K16" si="2">IF(B7&gt;B13,B7-B13,"N/A")</f>
        <v>N/A</v>
      </c>
      <c r="C16" s="15" t="str">
        <f t="shared" si="2"/>
        <v>N/A</v>
      </c>
      <c r="D16" s="15" t="str">
        <f t="shared" si="2"/>
        <v>N/A</v>
      </c>
      <c r="E16" s="15" t="str">
        <f t="shared" si="2"/>
        <v>N/A</v>
      </c>
      <c r="F16" s="15" t="str">
        <f t="shared" si="2"/>
        <v>N/A</v>
      </c>
      <c r="G16" s="15" t="str">
        <f t="shared" si="2"/>
        <v>N/A</v>
      </c>
      <c r="H16" s="15" t="str">
        <f t="shared" si="2"/>
        <v>N/A</v>
      </c>
      <c r="I16" s="15" t="str">
        <f t="shared" si="2"/>
        <v>N/A</v>
      </c>
      <c r="J16" s="15" t="str">
        <f t="shared" si="2"/>
        <v>N/A</v>
      </c>
      <c r="K16" s="15" t="str">
        <f t="shared" si="2"/>
        <v>N/A</v>
      </c>
    </row>
    <row r="17" spans="1:11">
      <c r="A17" s="13" t="s">
        <v>70</v>
      </c>
      <c r="B17" s="16">
        <f t="shared" ref="B17:K17" si="3">IF(B13&gt;B7,B7-B13,"N/A")</f>
        <v>-15.799999999999955</v>
      </c>
      <c r="C17" s="16">
        <f t="shared" si="3"/>
        <v>-15.799999999999955</v>
      </c>
      <c r="D17" s="16">
        <f t="shared" si="3"/>
        <v>-15.799999999999955</v>
      </c>
      <c r="E17" s="16">
        <f t="shared" si="3"/>
        <v>-15.799999999999955</v>
      </c>
      <c r="F17" s="16">
        <f t="shared" si="3"/>
        <v>-15.799999999999955</v>
      </c>
      <c r="G17" s="16">
        <f t="shared" si="3"/>
        <v>-15.799999999999955</v>
      </c>
      <c r="H17" s="16">
        <f t="shared" si="3"/>
        <v>-15.799999999999955</v>
      </c>
      <c r="I17" s="16">
        <f t="shared" si="3"/>
        <v>-15.799999999999955</v>
      </c>
      <c r="J17" s="16">
        <f t="shared" si="3"/>
        <v>-15.799999999999955</v>
      </c>
      <c r="K17" s="16">
        <f t="shared" si="3"/>
        <v>-15.799999999999955</v>
      </c>
    </row>
    <row r="21" spans="1:11">
      <c r="C21" t="s">
        <v>71</v>
      </c>
      <c r="J21" t="s">
        <v>72</v>
      </c>
    </row>
    <row r="22" spans="1:11">
      <c r="C22" t="s">
        <v>73</v>
      </c>
      <c r="J22">
        <v>12134</v>
      </c>
    </row>
    <row r="23" spans="1:11">
      <c r="C23" t="s">
        <v>74</v>
      </c>
    </row>
    <row r="24" spans="1:11">
      <c r="C24" t="s">
        <v>75</v>
      </c>
    </row>
    <row r="25" spans="1:11">
      <c r="C25" t="s">
        <v>76</v>
      </c>
      <c r="E25" t="s">
        <v>77</v>
      </c>
    </row>
    <row r="26" spans="1:11">
      <c r="C26" t="s">
        <v>78</v>
      </c>
    </row>
    <row r="27" spans="1:11">
      <c r="C27" t="s">
        <v>79</v>
      </c>
      <c r="E27" t="s">
        <v>80</v>
      </c>
    </row>
    <row r="28" spans="1:11">
      <c r="C28" t="s">
        <v>81</v>
      </c>
    </row>
    <row r="29" spans="1:11">
      <c r="C2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FPT</vt:lpstr>
      <vt:lpstr>Personal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Krystian Rozanski</cp:lastModifiedBy>
  <cp:revision/>
  <dcterms:created xsi:type="dcterms:W3CDTF">2024-12-03T06:18:17Z</dcterms:created>
  <dcterms:modified xsi:type="dcterms:W3CDTF">2026-04-08T05:56:35Z</dcterms:modified>
  <cp:category/>
  <cp:contentStatus/>
</cp:coreProperties>
</file>