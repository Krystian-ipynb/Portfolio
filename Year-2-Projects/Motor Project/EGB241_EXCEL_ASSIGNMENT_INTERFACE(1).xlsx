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2455466_qut_edu_au/Documents/Engineering/Assignments/EGB241/"/>
    </mc:Choice>
  </mc:AlternateContent>
  <xr:revisionPtr revIDLastSave="18" documentId="13_ncr:1_{A6CF922E-6D6B-4467-91C7-4ED40778EED7}" xr6:coauthVersionLast="47" xr6:coauthVersionMax="47" xr10:uidLastSave="{D7D1DE52-9857-48FC-9B45-1CE21E1B564B}"/>
  <bookViews>
    <workbookView xWindow="-110" yWindow="-110" windowWidth="19420" windowHeight="11500" firstSheet="1" activeTab="1" xr2:uid="{00000000-000D-0000-FFFF-FFFF00000000}"/>
  </bookViews>
  <sheets>
    <sheet name="Interface" sheetId="4" r:id="rId1"/>
    <sheet name="Group 20 Sheet" sheetId="1" r:id="rId2"/>
    <sheet name="Input" sheetId="8" r:id="rId3"/>
    <sheet name="Output without I lim" sheetId="6" r:id="rId4"/>
    <sheet name="Output with I lim" sheetId="7" r:id="rId5"/>
    <sheet name="MAGNETS (OPT)" sheetId="2" r:id="rId6"/>
    <sheet name="WIRES (OPT)" sheetId="3" r:id="rId7"/>
  </sheets>
  <definedNames>
    <definedName name="_xlnm._FilterDatabase" localSheetId="1" hidden="1">'Group 20 Sheet'!$A$1:$H$41</definedName>
    <definedName name="AWGList">'WIRES (OPT)'!$A$3:$A$46</definedName>
    <definedName name="Magnets">'MAGNETS (OPT)'!$A$3:$A$6</definedName>
    <definedName name="_xlnm.Print_Area" localSheetId="1">'Group 20 Sheet'!$A$1:$H$41</definedName>
    <definedName name="_xlnm.Print_Area" localSheetId="6">'WIRES (OPT)'!$A$1:$I$47</definedName>
    <definedName name="WindingList">'MAGNETS (OPT)'!#REF!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1" l="1"/>
  <c r="B63" i="1"/>
  <c r="H63" i="1"/>
  <c r="G63" i="1"/>
  <c r="F63" i="1"/>
  <c r="E63" i="1"/>
  <c r="C13" i="1" s="1"/>
  <c r="D63" i="1"/>
  <c r="C12" i="1" s="1"/>
  <c r="I59" i="1"/>
  <c r="I58" i="1"/>
  <c r="J54" i="1"/>
  <c r="I54" i="1"/>
  <c r="H54" i="1"/>
  <c r="G21" i="1" s="1"/>
  <c r="G54" i="1"/>
  <c r="F54" i="1"/>
  <c r="E54" i="1"/>
  <c r="C54" i="1"/>
  <c r="B54" i="1"/>
  <c r="K51" i="1"/>
  <c r="J51" i="1"/>
  <c r="I51" i="1"/>
  <c r="H51" i="1"/>
  <c r="G51" i="1"/>
  <c r="F51" i="1"/>
  <c r="E51" i="1"/>
  <c r="D51" i="1"/>
  <c r="C51" i="1"/>
  <c r="B51" i="1"/>
  <c r="C44" i="1"/>
  <c r="C28" i="1"/>
  <c r="C27" i="1"/>
  <c r="C29" i="1"/>
  <c r="O7" i="3"/>
  <c r="O6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3" i="3"/>
  <c r="G4" i="2"/>
  <c r="G5" i="2"/>
  <c r="G6" i="2"/>
  <c r="G7" i="2"/>
  <c r="F4" i="2"/>
  <c r="F5" i="2"/>
  <c r="F6" i="2"/>
  <c r="F7" i="2"/>
  <c r="F3" i="2"/>
  <c r="G3" i="2" s="1"/>
  <c r="C26" i="1"/>
  <c r="I63" i="1" l="1"/>
  <c r="F44" i="1" s="1"/>
  <c r="F46" i="1" s="1"/>
  <c r="C30" i="1"/>
  <c r="G20" i="1"/>
  <c r="D54" i="1"/>
  <c r="C31" i="1"/>
  <c r="C32" i="1" s="1"/>
  <c r="C42" i="1" s="1"/>
  <c r="F47" i="1" l="1"/>
  <c r="F48" i="1" s="1"/>
  <c r="G22" i="1"/>
  <c r="G23" i="1" s="1"/>
  <c r="C33" i="1"/>
  <c r="C25" i="1"/>
  <c r="G28" i="1"/>
  <c r="G29" i="1" s="1"/>
  <c r="G27" i="1" l="1"/>
  <c r="G35" i="1" s="1"/>
  <c r="C47" i="1" s="1"/>
  <c r="G26" i="1"/>
  <c r="G32" i="1" s="1"/>
  <c r="C45" i="1" s="1"/>
  <c r="C43" i="1"/>
  <c r="K40" i="1" l="1"/>
  <c r="K39" i="1" s="1"/>
  <c r="K41" i="1" l="1"/>
  <c r="K42" i="1" s="1"/>
  <c r="G38" i="1" s="1"/>
  <c r="K43" i="1" l="1"/>
  <c r="K44" i="1" s="1"/>
  <c r="G37" i="1" s="1"/>
  <c r="G39" i="1" s="1"/>
  <c r="G36" i="1" l="1"/>
</calcChain>
</file>

<file path=xl/sharedStrings.xml><?xml version="1.0" encoding="utf-8"?>
<sst xmlns="http://schemas.openxmlformats.org/spreadsheetml/2006/main" count="468" uniqueCount="262">
  <si>
    <t>EGB241 EXCEL ASSIGNMENT INTERFACE FILE</t>
  </si>
  <si>
    <t>Group Details</t>
  </si>
  <si>
    <t>Status (Should be filled by Tutors):</t>
  </si>
  <si>
    <t> </t>
  </si>
  <si>
    <t>Group No.:</t>
  </si>
  <si>
    <t>Semester:</t>
  </si>
  <si>
    <t>Submission Date:</t>
  </si>
  <si>
    <t>DD/MM/YYYY</t>
  </si>
  <si>
    <t>Student Number</t>
  </si>
  <si>
    <t>First Name</t>
  </si>
  <si>
    <t>Last Name</t>
  </si>
  <si>
    <t>Contribution (Percent)</t>
  </si>
  <si>
    <t>INPUTS (Geometric Properties)</t>
  </si>
  <si>
    <t>INPUT (Magnetic Properties)</t>
  </si>
  <si>
    <t>Parameter</t>
  </si>
  <si>
    <t>Value</t>
  </si>
  <si>
    <t>Unit</t>
  </si>
  <si>
    <r>
      <t>Length of rotor (</t>
    </r>
    <r>
      <rPr>
        <b/>
        <sz val="11"/>
        <color rgb="FF000000"/>
        <rFont val="Calibri"/>
        <family val="2"/>
      </rPr>
      <t>L</t>
    </r>
    <r>
      <rPr>
        <b/>
        <vertAlign val="subscript"/>
        <sz val="11"/>
        <color rgb="FF000000"/>
        <rFont val="Calibri"/>
        <family val="2"/>
      </rPr>
      <t>R</t>
    </r>
    <r>
      <rPr>
        <sz val="11"/>
        <color rgb="FF000000"/>
        <rFont val="Calibri"/>
        <family val="2"/>
      </rPr>
      <t>):</t>
    </r>
  </si>
  <si>
    <t>mm</t>
  </si>
  <si>
    <t>Magent type:</t>
  </si>
  <si>
    <r>
      <t>Radius of Windings (</t>
    </r>
    <r>
      <rPr>
        <b/>
        <sz val="11"/>
        <color rgb="FF000000"/>
        <rFont val="Calibri"/>
        <family val="2"/>
      </rPr>
      <t>r</t>
    </r>
    <r>
      <rPr>
        <b/>
        <vertAlign val="subscript"/>
        <sz val="11"/>
        <color rgb="FF000000"/>
        <rFont val="Calibri"/>
        <family val="2"/>
      </rPr>
      <t>ave</t>
    </r>
    <r>
      <rPr>
        <sz val="11"/>
        <color rgb="FF000000"/>
        <rFont val="Calibri"/>
        <family val="2"/>
      </rPr>
      <t>):</t>
    </r>
  </si>
  <si>
    <r>
      <t>Percent of flux leakage (</t>
    </r>
    <r>
      <rPr>
        <b/>
        <sz val="11"/>
        <color rgb="FF000000"/>
        <rFont val="Calibri"/>
        <family val="2"/>
      </rPr>
      <t>FL</t>
    </r>
    <r>
      <rPr>
        <sz val="11"/>
        <color rgb="FF000000"/>
        <rFont val="Calibri"/>
        <family val="2"/>
      </rPr>
      <t>):</t>
    </r>
  </si>
  <si>
    <r>
      <t>No. of Poles (</t>
    </r>
    <r>
      <rPr>
        <b/>
        <sz val="11"/>
        <color rgb="FF000000"/>
        <rFont val="Calibri"/>
        <family val="2"/>
      </rPr>
      <t>p</t>
    </r>
    <r>
      <rPr>
        <sz val="11"/>
        <color rgb="FF000000"/>
        <rFont val="Calibri"/>
        <family val="2"/>
      </rPr>
      <t>):</t>
    </r>
  </si>
  <si>
    <t>INPUT (Electrical Properties)</t>
  </si>
  <si>
    <t>INPUTS (Winding Properties)</t>
  </si>
  <si>
    <r>
      <t>Terminal Voltage (</t>
    </r>
    <r>
      <rPr>
        <b/>
        <sz val="11"/>
        <color rgb="FF000000"/>
        <rFont val="Calibri"/>
        <family val="2"/>
      </rPr>
      <t>V</t>
    </r>
    <r>
      <rPr>
        <b/>
        <vertAlign val="subscript"/>
        <sz val="11"/>
        <color rgb="FF000000"/>
        <rFont val="Calibri"/>
        <family val="2"/>
      </rPr>
      <t>T</t>
    </r>
    <r>
      <rPr>
        <sz val="11"/>
        <color rgb="FF000000"/>
        <rFont val="Calibri"/>
        <family val="2"/>
      </rPr>
      <t>):</t>
    </r>
  </si>
  <si>
    <t>V</t>
  </si>
  <si>
    <t>Winding Type:</t>
  </si>
  <si>
    <r>
      <t>Degradation Factor (</t>
    </r>
    <r>
      <rPr>
        <b/>
        <sz val="11"/>
        <color rgb="FF000000"/>
        <rFont val="Calibri"/>
        <family val="2"/>
      </rPr>
      <t>DF</t>
    </r>
    <r>
      <rPr>
        <sz val="11"/>
        <color rgb="FF000000"/>
        <rFont val="Calibri"/>
        <family val="2"/>
      </rPr>
      <t>):</t>
    </r>
  </si>
  <si>
    <t>Multiplex:</t>
  </si>
  <si>
    <t>OUTPUT (Intermediate Magnetic Properties)</t>
  </si>
  <si>
    <r>
      <t>Maximum Current Density (</t>
    </r>
    <r>
      <rPr>
        <b/>
        <sz val="11"/>
        <color rgb="FF000000"/>
        <rFont val="Calibri"/>
        <family val="2"/>
      </rPr>
      <t>J</t>
    </r>
    <r>
      <rPr>
        <sz val="11"/>
        <color rgb="FF000000"/>
        <rFont val="Calibri"/>
        <family val="2"/>
      </rPr>
      <t>):</t>
    </r>
  </si>
  <si>
    <r>
      <t>A/mm</t>
    </r>
    <r>
      <rPr>
        <vertAlign val="superscript"/>
        <sz val="11"/>
        <color rgb="FF000000"/>
        <rFont val="Calibri"/>
        <family val="2"/>
      </rPr>
      <t>2</t>
    </r>
  </si>
  <si>
    <r>
      <t>Gauge of Wire (</t>
    </r>
    <r>
      <rPr>
        <b/>
        <sz val="11"/>
        <color rgb="FF000000"/>
        <rFont val="Calibri"/>
        <family val="2"/>
      </rPr>
      <t>AWG</t>
    </r>
    <r>
      <rPr>
        <sz val="11"/>
        <color rgb="FF000000"/>
        <rFont val="Calibri"/>
        <family val="2"/>
      </rPr>
      <t>):</t>
    </r>
  </si>
  <si>
    <r>
      <t>Flux density at surface (</t>
    </r>
    <r>
      <rPr>
        <b/>
        <sz val="11"/>
        <color rgb="FF000000"/>
        <rFont val="Calibri"/>
        <family val="2"/>
      </rPr>
      <t>B</t>
    </r>
    <r>
      <rPr>
        <sz val="11"/>
        <color rgb="FF000000"/>
        <rFont val="Calibri"/>
        <family val="2"/>
      </rPr>
      <t>):</t>
    </r>
  </si>
  <si>
    <t>G</t>
  </si>
  <si>
    <r>
      <t>No. of coils of rotor (</t>
    </r>
    <r>
      <rPr>
        <b/>
        <sz val="11"/>
        <color rgb="FF000000"/>
        <rFont val="Calibri"/>
        <family val="2"/>
      </rPr>
      <t>C</t>
    </r>
    <r>
      <rPr>
        <sz val="11"/>
        <color rgb="FF000000"/>
        <rFont val="Calibri"/>
        <family val="2"/>
      </rPr>
      <t>):</t>
    </r>
  </si>
  <si>
    <t>ERROR CHECK</t>
  </si>
  <si>
    <r>
      <t>Area of magnet surface (</t>
    </r>
    <r>
      <rPr>
        <b/>
        <sz val="11"/>
        <color rgb="FF000000"/>
        <rFont val="Calibri"/>
        <family val="2"/>
      </rPr>
      <t>A</t>
    </r>
    <r>
      <rPr>
        <sz val="11"/>
        <color rgb="FF000000"/>
        <rFont val="Calibri"/>
        <family val="2"/>
      </rPr>
      <t>):</t>
    </r>
  </si>
  <si>
    <r>
      <t>cm</t>
    </r>
    <r>
      <rPr>
        <vertAlign val="superscript"/>
        <sz val="11"/>
        <color rgb="FF000000"/>
        <rFont val="Calibri"/>
        <family val="2"/>
      </rPr>
      <t>2</t>
    </r>
  </si>
  <si>
    <r>
      <t>No. of turns of wire per coil (</t>
    </r>
    <r>
      <rPr>
        <b/>
        <sz val="11"/>
        <color rgb="FF000000"/>
        <rFont val="Calibri"/>
        <family val="2"/>
      </rPr>
      <t>N</t>
    </r>
    <r>
      <rPr>
        <b/>
        <vertAlign val="subscript"/>
        <sz val="11"/>
        <color rgb="FF000000"/>
        <rFont val="Calibri"/>
        <family val="2"/>
      </rPr>
      <t>c</t>
    </r>
    <r>
      <rPr>
        <sz val="11"/>
        <color rgb="FF000000"/>
        <rFont val="Calibri"/>
        <family val="2"/>
      </rPr>
      <t>):</t>
    </r>
  </si>
  <si>
    <r>
      <t>Total flux of magnet (</t>
    </r>
    <r>
      <rPr>
        <b/>
        <sz val="11"/>
        <color rgb="FF000000"/>
        <rFont val="Calibri"/>
        <family val="2"/>
      </rPr>
      <t>φ</t>
    </r>
    <r>
      <rPr>
        <b/>
        <vertAlign val="subscript"/>
        <sz val="11"/>
        <color rgb="FF000000"/>
        <rFont val="Calibri"/>
        <family val="2"/>
      </rPr>
      <t>Total</t>
    </r>
    <r>
      <rPr>
        <sz val="11"/>
        <color rgb="FF000000"/>
        <rFont val="Calibri"/>
        <family val="2"/>
      </rPr>
      <t>):</t>
    </r>
  </si>
  <si>
    <t>mWb</t>
  </si>
  <si>
    <t>OUTPUT (Intermediate Winding Properties)</t>
  </si>
  <si>
    <r>
      <t>Flux passing through rotor (</t>
    </r>
    <r>
      <rPr>
        <b/>
        <sz val="11"/>
        <color rgb="FF000000"/>
        <rFont val="Calibri"/>
        <family val="2"/>
      </rPr>
      <t>φ</t>
    </r>
    <r>
      <rPr>
        <b/>
        <vertAlign val="subscript"/>
        <sz val="11"/>
        <color rgb="FF000000"/>
        <rFont val="Calibri"/>
        <family val="2"/>
      </rPr>
      <t>linkage</t>
    </r>
    <r>
      <rPr>
        <sz val="11"/>
        <color rgb="FF000000"/>
        <rFont val="Calibri"/>
        <family val="2"/>
      </rPr>
      <t>):</t>
    </r>
  </si>
  <si>
    <t>OUTPUT (Intermediate Electromagnetic Properties)</t>
  </si>
  <si>
    <r>
      <t>No. of conductors (</t>
    </r>
    <r>
      <rPr>
        <b/>
        <sz val="11"/>
        <color rgb="FF000000"/>
        <rFont val="Calibri"/>
        <family val="2"/>
      </rPr>
      <t>Z</t>
    </r>
    <r>
      <rPr>
        <sz val="11"/>
        <color rgb="FF000000"/>
        <rFont val="Calibri"/>
        <family val="2"/>
      </rPr>
      <t>):</t>
    </r>
  </si>
  <si>
    <r>
      <t>No. of Parallel Paths (</t>
    </r>
    <r>
      <rPr>
        <b/>
        <sz val="11"/>
        <color rgb="FF000000"/>
        <rFont val="Calibri"/>
        <family val="2"/>
      </rPr>
      <t>a</t>
    </r>
    <r>
      <rPr>
        <sz val="11"/>
        <color rgb="FF000000"/>
        <rFont val="Calibri"/>
        <family val="2"/>
      </rPr>
      <t>):</t>
    </r>
  </si>
  <si>
    <r>
      <t>Motor Constant (</t>
    </r>
    <r>
      <rPr>
        <b/>
        <sz val="11"/>
        <color rgb="FF000000"/>
        <rFont val="Calibri"/>
        <family val="2"/>
      </rPr>
      <t>K</t>
    </r>
    <r>
      <rPr>
        <b/>
        <vertAlign val="subscript"/>
        <sz val="11"/>
        <color rgb="FF000000"/>
        <rFont val="Calibri"/>
        <family val="2"/>
      </rPr>
      <t>1</t>
    </r>
    <r>
      <rPr>
        <sz val="11"/>
        <color rgb="FF000000"/>
        <rFont val="Calibri"/>
        <family val="2"/>
      </rPr>
      <t>):</t>
    </r>
  </si>
  <si>
    <r>
      <t>Winding Angle Lap (</t>
    </r>
    <r>
      <rPr>
        <b/>
        <sz val="11"/>
        <color rgb="FF000000"/>
        <rFont val="Calibri"/>
        <family val="2"/>
      </rPr>
      <t>θ</t>
    </r>
    <r>
      <rPr>
        <b/>
        <vertAlign val="subscript"/>
        <sz val="11"/>
        <color rgb="FF000000"/>
        <rFont val="Calibri"/>
        <family val="2"/>
      </rPr>
      <t>w,L</t>
    </r>
    <r>
      <rPr>
        <sz val="11"/>
        <color rgb="FF000000"/>
        <rFont val="Calibri"/>
        <family val="2"/>
      </rPr>
      <t>):</t>
    </r>
  </si>
  <si>
    <t>Rad</t>
  </si>
  <si>
    <r>
      <t>Motor Constant (</t>
    </r>
    <r>
      <rPr>
        <b/>
        <sz val="11"/>
        <color rgb="FF000000"/>
        <rFont val="Calibri"/>
        <family val="2"/>
      </rPr>
      <t>K</t>
    </r>
    <r>
      <rPr>
        <b/>
        <vertAlign val="subscript"/>
        <sz val="11"/>
        <color rgb="FF000000"/>
        <rFont val="Calibri"/>
        <family val="2"/>
      </rPr>
      <t>2</t>
    </r>
    <r>
      <rPr>
        <sz val="11"/>
        <color rgb="FF000000"/>
        <rFont val="Calibri"/>
        <family val="2"/>
      </rPr>
      <t>):</t>
    </r>
  </si>
  <si>
    <t>1/Rad</t>
  </si>
  <si>
    <r>
      <t>Winding Angle Wave (</t>
    </r>
    <r>
      <rPr>
        <b/>
        <sz val="11"/>
        <color rgb="FF000000"/>
        <rFont val="Calibri"/>
        <family val="2"/>
      </rPr>
      <t>θ</t>
    </r>
    <r>
      <rPr>
        <b/>
        <vertAlign val="subscript"/>
        <sz val="11"/>
        <color rgb="FF000000"/>
        <rFont val="Calibri"/>
        <family val="2"/>
      </rPr>
      <t>w,w</t>
    </r>
    <r>
      <rPr>
        <sz val="11"/>
        <color rgb="FF000000"/>
        <rFont val="Calibri"/>
        <family val="2"/>
      </rPr>
      <t>):</t>
    </r>
  </si>
  <si>
    <r>
      <t>Resistance of Armature (</t>
    </r>
    <r>
      <rPr>
        <b/>
        <sz val="11"/>
        <color rgb="FF000000"/>
        <rFont val="Calibri"/>
        <family val="2"/>
      </rPr>
      <t>R</t>
    </r>
    <r>
      <rPr>
        <b/>
        <vertAlign val="subscript"/>
        <sz val="11"/>
        <color rgb="FF000000"/>
        <rFont val="Calibri"/>
        <family val="2"/>
      </rPr>
      <t>a</t>
    </r>
    <r>
      <rPr>
        <sz val="11"/>
        <color rgb="FF000000"/>
        <rFont val="Calibri"/>
        <family val="2"/>
      </rPr>
      <t>):</t>
    </r>
  </si>
  <si>
    <t>W</t>
  </si>
  <si>
    <r>
      <t>Chord Length (</t>
    </r>
    <r>
      <rPr>
        <b/>
        <sz val="11"/>
        <color rgb="FF000000"/>
        <rFont val="Calibri"/>
        <family val="2"/>
      </rPr>
      <t>L</t>
    </r>
    <r>
      <rPr>
        <b/>
        <vertAlign val="subscript"/>
        <sz val="11"/>
        <color rgb="FF000000"/>
        <rFont val="Calibri"/>
        <family val="2"/>
      </rPr>
      <t>c</t>
    </r>
    <r>
      <rPr>
        <sz val="11"/>
        <color rgb="FF000000"/>
        <rFont val="Calibri"/>
        <family val="2"/>
      </rPr>
      <t>):</t>
    </r>
  </si>
  <si>
    <r>
      <t>Maximum Armature Current (</t>
    </r>
    <r>
      <rPr>
        <b/>
        <sz val="11"/>
        <color rgb="FF000000"/>
        <rFont val="Calibri"/>
        <family val="2"/>
      </rPr>
      <t>I</t>
    </r>
    <r>
      <rPr>
        <b/>
        <vertAlign val="subscript"/>
        <sz val="11"/>
        <color rgb="FF000000"/>
        <rFont val="Calibri"/>
        <family val="2"/>
      </rPr>
      <t>a,max</t>
    </r>
    <r>
      <rPr>
        <sz val="11"/>
        <color rgb="FF000000"/>
        <rFont val="Calibri"/>
        <family val="2"/>
      </rPr>
      <t>):</t>
    </r>
  </si>
  <si>
    <t>A</t>
  </si>
  <si>
    <r>
      <t>Length of 1 turn (</t>
    </r>
    <r>
      <rPr>
        <b/>
        <sz val="11"/>
        <color rgb="FF000000"/>
        <rFont val="Calibri"/>
        <family val="2"/>
      </rPr>
      <t>L</t>
    </r>
    <r>
      <rPr>
        <b/>
        <vertAlign val="subscript"/>
        <sz val="11"/>
        <color rgb="FF000000"/>
        <rFont val="Calibri"/>
        <family val="2"/>
      </rPr>
      <t>W1</t>
    </r>
    <r>
      <rPr>
        <sz val="11"/>
        <color rgb="FF000000"/>
        <rFont val="Calibri"/>
        <family val="2"/>
      </rPr>
      <t>):</t>
    </r>
  </si>
  <si>
    <t>OUTPUT (Final Electromagnetic Properties)</t>
  </si>
  <si>
    <t>Length of 1 coil:</t>
  </si>
  <si>
    <r>
      <t>Length of all coils (</t>
    </r>
    <r>
      <rPr>
        <b/>
        <sz val="11"/>
        <color rgb="FF000000"/>
        <rFont val="Calibri"/>
        <family val="2"/>
      </rPr>
      <t>L</t>
    </r>
    <r>
      <rPr>
        <b/>
        <vertAlign val="subscript"/>
        <sz val="11"/>
        <color rgb="FF000000"/>
        <rFont val="Calibri"/>
        <family val="2"/>
      </rPr>
      <t>W</t>
    </r>
    <r>
      <rPr>
        <sz val="11"/>
        <color rgb="FF000000"/>
        <rFont val="Calibri"/>
        <family val="2"/>
      </rPr>
      <t>):</t>
    </r>
  </si>
  <si>
    <t>m (&lt; 45 m)</t>
  </si>
  <si>
    <r>
      <t>Maximum Rotational Speed (</t>
    </r>
    <r>
      <rPr>
        <b/>
        <sz val="11"/>
        <color rgb="FF000000"/>
        <rFont val="Calibri"/>
        <family val="2"/>
      </rPr>
      <t>n</t>
    </r>
    <r>
      <rPr>
        <b/>
        <vertAlign val="subscript"/>
        <sz val="11"/>
        <color rgb="FF000000"/>
        <rFont val="Calibri"/>
        <family val="2"/>
      </rPr>
      <t>r,max</t>
    </r>
    <r>
      <rPr>
        <sz val="11"/>
        <color rgb="FF000000"/>
        <rFont val="Calibri"/>
        <family val="2"/>
      </rPr>
      <t>):</t>
    </r>
  </si>
  <si>
    <t>rpm</t>
  </si>
  <si>
    <t>Cross section of coils inside slot:</t>
  </si>
  <si>
    <r>
      <t>mm</t>
    </r>
    <r>
      <rPr>
        <vertAlign val="superscript"/>
        <sz val="11"/>
        <color rgb="FF000000"/>
        <rFont val="Calibri"/>
        <family val="2"/>
      </rPr>
      <t>2</t>
    </r>
  </si>
  <si>
    <r>
      <t>Rotational Speed at Max Torque (</t>
    </r>
    <r>
      <rPr>
        <b/>
        <sz val="11"/>
        <color rgb="FF000000"/>
        <rFont val="Calibri"/>
        <family val="2"/>
      </rPr>
      <t>n</t>
    </r>
    <r>
      <rPr>
        <b/>
        <vertAlign val="subscript"/>
        <sz val="11"/>
        <color rgb="FF000000"/>
        <rFont val="Calibri"/>
        <family val="2"/>
      </rPr>
      <t>r,fl</t>
    </r>
    <r>
      <rPr>
        <sz val="11"/>
        <color rgb="FF000000"/>
        <rFont val="Calibri"/>
        <family val="2"/>
      </rPr>
      <t>):</t>
    </r>
  </si>
  <si>
    <t>Available Components</t>
  </si>
  <si>
    <r>
      <t>Rotational Speed at Max Torque (</t>
    </r>
    <r>
      <rPr>
        <b/>
        <sz val="11"/>
        <color rgb="FF000000"/>
        <rFont val="Calibri"/>
        <family val="2"/>
      </rPr>
      <t>w</t>
    </r>
    <r>
      <rPr>
        <b/>
        <vertAlign val="subscript"/>
        <sz val="11"/>
        <color rgb="FF000000"/>
        <rFont val="Calibri"/>
        <family val="2"/>
      </rPr>
      <t>r,fl</t>
    </r>
    <r>
      <rPr>
        <sz val="11"/>
        <color rgb="FF000000"/>
        <rFont val="Calibri"/>
        <family val="2"/>
      </rPr>
      <t>):</t>
    </r>
  </si>
  <si>
    <t>Rad/sec</t>
  </si>
  <si>
    <t>Permanent Magnets:</t>
  </si>
  <si>
    <t>#2522, #3495, #3460, #3470, LM1614</t>
  </si>
  <si>
    <r>
      <t>Maximum Generated Torque (</t>
    </r>
    <r>
      <rPr>
        <b/>
        <sz val="11"/>
        <color rgb="FF000000"/>
        <rFont val="Calibri"/>
        <family val="2"/>
      </rPr>
      <t>T</t>
    </r>
    <r>
      <rPr>
        <b/>
        <vertAlign val="subscript"/>
        <sz val="11"/>
        <color rgb="FF000000"/>
        <rFont val="Calibri"/>
        <family val="2"/>
      </rPr>
      <t>max</t>
    </r>
    <r>
      <rPr>
        <sz val="11"/>
        <color rgb="FF000000"/>
        <rFont val="Calibri"/>
        <family val="2"/>
      </rPr>
      <t>):</t>
    </r>
  </si>
  <si>
    <t>Nm</t>
  </si>
  <si>
    <t>Wiress (AWG):</t>
  </si>
  <si>
    <t>18 - 29</t>
  </si>
  <si>
    <r>
      <t>Maximum Produced Power (</t>
    </r>
    <r>
      <rPr>
        <b/>
        <sz val="11"/>
        <color rgb="FF000000"/>
        <rFont val="Calibri"/>
        <family val="2"/>
      </rPr>
      <t>P</t>
    </r>
    <r>
      <rPr>
        <b/>
        <vertAlign val="subscript"/>
        <sz val="11"/>
        <color rgb="FF000000"/>
        <rFont val="Calibri"/>
        <family val="2"/>
      </rPr>
      <t>max</t>
    </r>
    <r>
      <rPr>
        <sz val="11"/>
        <color rgb="FF000000"/>
        <rFont val="Calibri"/>
        <family val="2"/>
      </rPr>
      <t>):</t>
    </r>
  </si>
  <si>
    <t>Permissible Length of Wire:</t>
  </si>
  <si>
    <t>45 m</t>
  </si>
  <si>
    <r>
      <t>Motor may actually produce (</t>
    </r>
    <r>
      <rPr>
        <b/>
        <sz val="11"/>
        <color rgb="FF000000"/>
        <rFont val="Calibri"/>
        <family val="2"/>
      </rPr>
      <t>P</t>
    </r>
    <r>
      <rPr>
        <b/>
        <vertAlign val="subscript"/>
        <sz val="11"/>
        <color rgb="FF000000"/>
        <rFont val="Calibri"/>
        <family val="2"/>
      </rPr>
      <t>act</t>
    </r>
    <r>
      <rPr>
        <sz val="11"/>
        <color rgb="FF000000"/>
        <rFont val="Calibri"/>
        <family val="2"/>
      </rPr>
      <t>):</t>
    </r>
  </si>
  <si>
    <t>Rotor Laminations (slots / thickness):</t>
  </si>
  <si>
    <t>(5 / 1 mm), (6 / 1 mm), (8 / 1.2 mm)</t>
  </si>
  <si>
    <r>
      <t>Input Power (</t>
    </r>
    <r>
      <rPr>
        <b/>
        <sz val="11"/>
        <color rgb="FF000000"/>
        <rFont val="Calibri"/>
        <family val="2"/>
      </rPr>
      <t>P</t>
    </r>
    <r>
      <rPr>
        <b/>
        <vertAlign val="subscript"/>
        <sz val="11"/>
        <color rgb="FF000000"/>
        <rFont val="Calibri"/>
        <family val="2"/>
      </rPr>
      <t>in</t>
    </r>
    <r>
      <rPr>
        <sz val="11"/>
        <color rgb="FF000000"/>
        <rFont val="Calibri"/>
        <family val="2"/>
      </rPr>
      <t>):</t>
    </r>
  </si>
  <si>
    <r>
      <t>Rotor Laminations (r</t>
    </r>
    <r>
      <rPr>
        <b/>
        <vertAlign val="subscript"/>
        <sz val="11"/>
        <color rgb="FF000000"/>
        <rFont val="Calibri"/>
        <family val="2"/>
      </rPr>
      <t>min</t>
    </r>
    <r>
      <rPr>
        <b/>
        <sz val="11"/>
        <color rgb="FF000000"/>
        <rFont val="Calibri"/>
        <family val="2"/>
      </rPr>
      <t>,r</t>
    </r>
    <r>
      <rPr>
        <b/>
        <vertAlign val="subscript"/>
        <sz val="11"/>
        <color rgb="FF000000"/>
        <rFont val="Calibri"/>
        <family val="2"/>
      </rPr>
      <t>max</t>
    </r>
    <r>
      <rPr>
        <b/>
        <sz val="11"/>
        <color rgb="FF000000"/>
        <rFont val="Calibri"/>
        <family val="2"/>
      </rPr>
      <t>):</t>
    </r>
  </si>
  <si>
    <t>(15 mm, 30 mm)</t>
  </si>
  <si>
    <t>Efficiency:</t>
  </si>
  <si>
    <t>Number of Laminations per kit:</t>
  </si>
  <si>
    <t>MARKED BY:</t>
  </si>
  <si>
    <t>ASSESSMENT FLAGS:</t>
  </si>
  <si>
    <t>CORRECT</t>
  </si>
  <si>
    <t>WRONG</t>
  </si>
  <si>
    <t xml:space="preserve">Members
</t>
  </si>
  <si>
    <t>n12455466</t>
  </si>
  <si>
    <t>Krystian</t>
  </si>
  <si>
    <t>Rozanski</t>
  </si>
  <si>
    <t>n12466255</t>
  </si>
  <si>
    <t>Darcy</t>
  </si>
  <si>
    <t>Sheppard</t>
  </si>
  <si>
    <t>n12427462</t>
  </si>
  <si>
    <t>Paddy</t>
  </si>
  <si>
    <t>Dale</t>
  </si>
  <si>
    <t>Design aspects</t>
  </si>
  <si>
    <t>n12175048</t>
  </si>
  <si>
    <t>Jakob</t>
  </si>
  <si>
    <t>Sahlberg</t>
  </si>
  <si>
    <t>Coupling</t>
  </si>
  <si>
    <t>n12363618</t>
  </si>
  <si>
    <t>Jamie</t>
  </si>
  <si>
    <t>Fowler</t>
  </si>
  <si>
    <t>Brush</t>
  </si>
  <si>
    <t>Input and Output Properties</t>
  </si>
  <si>
    <t>Shaft</t>
  </si>
  <si>
    <t>Laminations</t>
  </si>
  <si>
    <r>
      <t>Length of rotor (</t>
    </r>
    <r>
      <rPr>
        <b/>
        <sz val="11"/>
        <color theme="1"/>
        <rFont val="Calibri"/>
        <family val="2"/>
        <scheme val="minor"/>
      </rPr>
      <t>L</t>
    </r>
    <r>
      <rPr>
        <b/>
        <vertAlign val="subscript"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):</t>
    </r>
  </si>
  <si>
    <t>#3495</t>
  </si>
  <si>
    <t>Frame</t>
  </si>
  <si>
    <r>
      <t>Radius of Windings (</t>
    </r>
    <r>
      <rPr>
        <b/>
        <sz val="11"/>
        <color theme="1"/>
        <rFont val="Calibri"/>
        <family val="2"/>
        <scheme val="minor"/>
      </rPr>
      <t>r</t>
    </r>
    <r>
      <rPr>
        <b/>
        <vertAlign val="subscript"/>
        <sz val="11"/>
        <color theme="1"/>
        <rFont val="Calibri"/>
        <family val="2"/>
        <scheme val="minor"/>
      </rPr>
      <t>ave</t>
    </r>
    <r>
      <rPr>
        <sz val="11"/>
        <color theme="1"/>
        <rFont val="Calibri"/>
        <family val="2"/>
        <scheme val="minor"/>
      </rPr>
      <t>):</t>
    </r>
  </si>
  <si>
    <r>
      <t>Percent of flux leakage (</t>
    </r>
    <r>
      <rPr>
        <b/>
        <sz val="11"/>
        <color theme="1"/>
        <rFont val="Calibri"/>
        <family val="2"/>
        <scheme val="minor"/>
      </rPr>
      <t>FL</t>
    </r>
    <r>
      <rPr>
        <sz val="11"/>
        <color theme="1"/>
        <rFont val="Calibri"/>
        <family val="2"/>
        <scheme val="minor"/>
      </rPr>
      <t>):</t>
    </r>
  </si>
  <si>
    <t>Commutator (design well, research ideal)</t>
  </si>
  <si>
    <r>
      <t>No. of Poles (</t>
    </r>
    <r>
      <rPr>
        <b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):</t>
    </r>
  </si>
  <si>
    <r>
      <t>Terminal Voltage (</t>
    </r>
    <r>
      <rPr>
        <b/>
        <sz val="11"/>
        <color theme="1"/>
        <rFont val="Calibri"/>
        <family val="2"/>
        <scheme val="minor"/>
      </rPr>
      <t>V</t>
    </r>
    <r>
      <rPr>
        <b/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):</t>
    </r>
  </si>
  <si>
    <t>Pick Vt to ensure I&lt;5A and nm&lt;2000RPM</t>
  </si>
  <si>
    <t>Lap Wound</t>
  </si>
  <si>
    <r>
      <t>Degradation Factor (</t>
    </r>
    <r>
      <rPr>
        <b/>
        <sz val="11"/>
        <color theme="1"/>
        <rFont val="Calibri"/>
        <family val="2"/>
        <scheme val="minor"/>
      </rPr>
      <t>DF</t>
    </r>
    <r>
      <rPr>
        <sz val="11"/>
        <color theme="1"/>
        <rFont val="Calibri"/>
        <family val="2"/>
        <scheme val="minor"/>
      </rPr>
      <t>):</t>
    </r>
  </si>
  <si>
    <t>Notes</t>
  </si>
  <si>
    <r>
      <t>Maximum Current Density (</t>
    </r>
    <r>
      <rPr>
        <b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):</t>
    </r>
  </si>
  <si>
    <r>
      <t>A/mm</t>
    </r>
    <r>
      <rPr>
        <vertAlign val="superscript"/>
        <sz val="11"/>
        <color theme="1"/>
        <rFont val="Calibri"/>
        <family val="2"/>
        <scheme val="minor"/>
      </rPr>
      <t>2</t>
    </r>
  </si>
  <si>
    <t>Inputs geometric</t>
  </si>
  <si>
    <r>
      <t>Gauge of Wire (</t>
    </r>
    <r>
      <rPr>
        <b/>
        <sz val="11"/>
        <color theme="1"/>
        <rFont val="Calibri"/>
        <family val="2"/>
        <scheme val="minor"/>
      </rPr>
      <t>AWG</t>
    </r>
    <r>
      <rPr>
        <sz val="11"/>
        <color theme="1"/>
        <rFont val="Calibri"/>
        <family val="2"/>
        <scheme val="minor"/>
      </rPr>
      <t>):</t>
    </r>
  </si>
  <si>
    <r>
      <rPr>
        <sz val="11"/>
        <color rgb="FF000000"/>
        <rFont val="Calibri"/>
        <scheme val="minor"/>
      </rPr>
      <t>Flux density at surface (</t>
    </r>
    <r>
      <rPr>
        <b/>
        <sz val="11"/>
        <color rgb="FF000000"/>
        <rFont val="Calibri"/>
        <scheme val="minor"/>
      </rPr>
      <t>B</t>
    </r>
    <r>
      <rPr>
        <sz val="11"/>
        <color rgb="FF000000"/>
        <rFont val="Calibri"/>
        <scheme val="minor"/>
      </rPr>
      <t>):</t>
    </r>
  </si>
  <si>
    <t>Lr</t>
  </si>
  <si>
    <t>16 * thickness of slot (mm)</t>
  </si>
  <si>
    <r>
      <t>No. of coils of rotor (</t>
    </r>
    <r>
      <rPr>
        <b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):</t>
    </r>
  </si>
  <si>
    <r>
      <t>Area of magnet surface (</t>
    </r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):</t>
    </r>
  </si>
  <si>
    <r>
      <t>cm</t>
    </r>
    <r>
      <rPr>
        <vertAlign val="superscript"/>
        <sz val="11"/>
        <color theme="1"/>
        <rFont val="Calibri"/>
        <family val="2"/>
        <scheme val="minor"/>
      </rPr>
      <t>2</t>
    </r>
  </si>
  <si>
    <t>R ave</t>
  </si>
  <si>
    <t>(total radius-radius of slot)/2 + radius of slot</t>
  </si>
  <si>
    <r>
      <t>No. of turns of wire per coil (</t>
    </r>
    <r>
      <rPr>
        <b/>
        <sz val="11"/>
        <color theme="1"/>
        <rFont val="Calibri"/>
        <family val="2"/>
        <scheme val="minor"/>
      </rPr>
      <t>N</t>
    </r>
    <r>
      <rPr>
        <b/>
        <vertAlign val="sub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):</t>
    </r>
  </si>
  <si>
    <r>
      <t>Total flux of magnet (</t>
    </r>
    <r>
      <rPr>
        <b/>
        <sz val="11"/>
        <color theme="1"/>
        <rFont val="Calibri"/>
        <family val="2"/>
        <scheme val="minor"/>
      </rPr>
      <t>φ</t>
    </r>
    <r>
      <rPr>
        <b/>
        <vertAlign val="subscript"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>):</t>
    </r>
  </si>
  <si>
    <t>chord length</t>
  </si>
  <si>
    <t>2 * R ave sin(theta/2) , where theta =180 for full pitch</t>
  </si>
  <si>
    <r>
      <t>Flux passing through rotor (</t>
    </r>
    <r>
      <rPr>
        <b/>
        <sz val="11"/>
        <color theme="1"/>
        <rFont val="Calibri"/>
        <family val="2"/>
      </rPr>
      <t>φ</t>
    </r>
    <r>
      <rPr>
        <b/>
        <vertAlign val="subscript"/>
        <sz val="11"/>
        <color theme="1"/>
        <rFont val="Calibri"/>
        <family val="2"/>
        <scheme val="minor"/>
      </rPr>
      <t>linkage</t>
    </r>
    <r>
      <rPr>
        <sz val="11"/>
        <color theme="1"/>
        <rFont val="Calibri"/>
        <family val="2"/>
        <scheme val="minor"/>
      </rPr>
      <t>):</t>
    </r>
  </si>
  <si>
    <t>therefore chord length 2* R ave</t>
  </si>
  <si>
    <t>length of 1 turn</t>
  </si>
  <si>
    <t>2 * chord length + 2 length of roter</t>
  </si>
  <si>
    <r>
      <t>No. of conductors (</t>
    </r>
    <r>
      <rPr>
        <b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>):</t>
    </r>
  </si>
  <si>
    <r>
      <t>No. of Parallel Paths (</t>
    </r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):</t>
    </r>
  </si>
  <si>
    <r>
      <t>Motor Constant (</t>
    </r>
    <r>
      <rPr>
        <b/>
        <sz val="11"/>
        <color theme="1"/>
        <rFont val="Calibri"/>
        <family val="2"/>
        <scheme val="minor"/>
      </rPr>
      <t>K</t>
    </r>
    <r>
      <rPr>
        <b/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):</t>
    </r>
  </si>
  <si>
    <r>
      <t>Winding Angle Lap (</t>
    </r>
    <r>
      <rPr>
        <b/>
        <sz val="11"/>
        <color theme="1"/>
        <rFont val="Calibri"/>
        <family val="2"/>
        <scheme val="minor"/>
      </rPr>
      <t>θ</t>
    </r>
    <r>
      <rPr>
        <b/>
        <vertAlign val="subscript"/>
        <sz val="11"/>
        <color theme="1"/>
        <rFont val="Calibri"/>
        <family val="2"/>
        <scheme val="minor"/>
      </rPr>
      <t>w,L</t>
    </r>
    <r>
      <rPr>
        <sz val="11"/>
        <color theme="1"/>
        <rFont val="Calibri"/>
        <family val="2"/>
        <scheme val="minor"/>
      </rPr>
      <t>):</t>
    </r>
  </si>
  <si>
    <r>
      <t>Motor Constant (</t>
    </r>
    <r>
      <rPr>
        <b/>
        <sz val="11"/>
        <color theme="1"/>
        <rFont val="Calibri"/>
        <family val="2"/>
        <scheme val="minor"/>
      </rPr>
      <t>K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):</t>
    </r>
  </si>
  <si>
    <t>flux total = Br*Am/(1+(lgAm/lmAg))</t>
  </si>
  <si>
    <r>
      <t>Winding Angle Wave (</t>
    </r>
    <r>
      <rPr>
        <b/>
        <sz val="11"/>
        <color theme="1"/>
        <rFont val="Calibri"/>
        <family val="2"/>
      </rPr>
      <t>θ</t>
    </r>
    <r>
      <rPr>
        <b/>
        <vertAlign val="subscript"/>
        <sz val="11"/>
        <color theme="1"/>
        <rFont val="Calibri"/>
        <family val="2"/>
        <scheme val="minor"/>
      </rPr>
      <t>w,w</t>
    </r>
    <r>
      <rPr>
        <sz val="11"/>
        <color theme="1"/>
        <rFont val="Calibri"/>
        <family val="2"/>
        <scheme val="minor"/>
      </rPr>
      <t>):</t>
    </r>
  </si>
  <si>
    <r>
      <t>Resistance of Armature (</t>
    </r>
    <r>
      <rPr>
        <b/>
        <sz val="11"/>
        <color theme="1"/>
        <rFont val="Calibri"/>
        <family val="2"/>
        <scheme val="minor"/>
      </rPr>
      <t>R</t>
    </r>
    <r>
      <rPr>
        <b/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):</t>
    </r>
  </si>
  <si>
    <t>aim for lg = 1mm</t>
  </si>
  <si>
    <r>
      <t>Chord Length (</t>
    </r>
    <r>
      <rPr>
        <b/>
        <sz val="11"/>
        <color theme="1"/>
        <rFont val="Calibri"/>
        <family val="2"/>
        <scheme val="minor"/>
      </rPr>
      <t>L</t>
    </r>
    <r>
      <rPr>
        <b/>
        <vertAlign val="sub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):</t>
    </r>
  </si>
  <si>
    <r>
      <t>Maximum Armature Current (</t>
    </r>
    <r>
      <rPr>
        <b/>
        <sz val="11"/>
        <color theme="1"/>
        <rFont val="Calibri"/>
        <family val="2"/>
        <scheme val="minor"/>
      </rPr>
      <t>I</t>
    </r>
    <r>
      <rPr>
        <b/>
        <vertAlign val="subscript"/>
        <sz val="11"/>
        <color theme="1"/>
        <rFont val="Calibri"/>
        <family val="2"/>
        <scheme val="minor"/>
      </rPr>
      <t>a,max</t>
    </r>
    <r>
      <rPr>
        <sz val="11"/>
        <color theme="1"/>
        <rFont val="Calibri"/>
        <family val="2"/>
        <scheme val="minor"/>
      </rPr>
      <t>):</t>
    </r>
  </si>
  <si>
    <t>Use circular pole guides with theta = 160 degrees</t>
  </si>
  <si>
    <r>
      <t>Length of 1 turn (</t>
    </r>
    <r>
      <rPr>
        <b/>
        <sz val="11"/>
        <color theme="1"/>
        <rFont val="Calibri"/>
        <family val="2"/>
        <scheme val="minor"/>
      </rPr>
      <t>L</t>
    </r>
    <r>
      <rPr>
        <b/>
        <vertAlign val="subscript"/>
        <sz val="11"/>
        <color theme="1"/>
        <rFont val="Calibri"/>
        <family val="2"/>
        <scheme val="minor"/>
      </rPr>
      <t>W1</t>
    </r>
    <r>
      <rPr>
        <sz val="11"/>
        <color theme="1"/>
        <rFont val="Calibri"/>
        <family val="2"/>
        <scheme val="minor"/>
      </rPr>
      <t>):</t>
    </r>
  </si>
  <si>
    <t>Ag = length of rotor * by circumfrence of rotor * 160/360</t>
  </si>
  <si>
    <r>
      <t>Length of all coils (</t>
    </r>
    <r>
      <rPr>
        <b/>
        <sz val="11"/>
        <color theme="1"/>
        <rFont val="Calibri"/>
        <family val="2"/>
        <scheme val="minor"/>
      </rPr>
      <t>L</t>
    </r>
    <r>
      <rPr>
        <b/>
        <vertAlign val="subscript"/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):</t>
    </r>
  </si>
  <si>
    <r>
      <t>Maximum Rotational Speed (</t>
    </r>
    <r>
      <rPr>
        <b/>
        <sz val="11"/>
        <color theme="1"/>
        <rFont val="Calibri"/>
        <family val="2"/>
        <scheme val="minor"/>
      </rPr>
      <t>n</t>
    </r>
    <r>
      <rPr>
        <b/>
        <vertAlign val="subscript"/>
        <sz val="11"/>
        <color theme="1"/>
        <rFont val="Calibri"/>
        <family val="2"/>
        <scheme val="minor"/>
      </rPr>
      <t>r,max</t>
    </r>
    <r>
      <rPr>
        <sz val="11"/>
        <color theme="1"/>
        <rFont val="Calibri"/>
        <family val="2"/>
        <scheme val="minor"/>
      </rPr>
      <t>):</t>
    </r>
  </si>
  <si>
    <t>Resistance of Armature (Ra):</t>
  </si>
  <si>
    <r>
      <t>mm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</si>
  <si>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Rotational Speed at Max Torque (</t>
    </r>
    <r>
      <rPr>
        <b/>
        <sz val="11"/>
        <color theme="1"/>
        <rFont val="Calibri"/>
        <family val="2"/>
        <scheme val="minor"/>
      </rPr>
      <t>n</t>
    </r>
    <r>
      <rPr>
        <b/>
        <vertAlign val="subscript"/>
        <sz val="11"/>
        <color theme="1"/>
        <rFont val="Calibri"/>
        <family val="2"/>
        <scheme val="minor"/>
      </rPr>
      <t>r,fl</t>
    </r>
    <r>
      <rPr>
        <sz val="11"/>
        <color theme="1"/>
        <rFont val="Calibri"/>
        <family val="2"/>
        <scheme val="minor"/>
      </rPr>
      <t>):</t>
    </r>
  </si>
  <si>
    <t>Is equal to 1 ohm for brushes + length of wire * resistance/m/4</t>
  </si>
  <si>
    <r>
      <t>Rotational Speed at Max Torque (</t>
    </r>
    <r>
      <rPr>
        <b/>
        <sz val="11"/>
        <color theme="1"/>
        <rFont val="Calibri"/>
        <family val="2"/>
        <scheme val="minor"/>
      </rPr>
      <t>w</t>
    </r>
    <r>
      <rPr>
        <b/>
        <vertAlign val="subscript"/>
        <sz val="11"/>
        <color theme="1"/>
        <rFont val="Calibri"/>
        <family val="2"/>
        <scheme val="minor"/>
      </rPr>
      <t>r,fl</t>
    </r>
    <r>
      <rPr>
        <sz val="11"/>
        <color theme="1"/>
        <rFont val="Calibri"/>
        <family val="2"/>
        <scheme val="minor"/>
      </rPr>
      <t>):</t>
    </r>
  </si>
  <si>
    <r>
      <t>Maximum Generated Torque (</t>
    </r>
    <r>
      <rPr>
        <b/>
        <sz val="11"/>
        <color theme="1"/>
        <rFont val="Calibri"/>
        <family val="2"/>
        <scheme val="minor"/>
      </rPr>
      <t>T</t>
    </r>
    <r>
      <rPr>
        <b/>
        <vertAlign val="subscript"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>):</t>
    </r>
  </si>
  <si>
    <r>
      <t>Maximum Produced Power (</t>
    </r>
    <r>
      <rPr>
        <b/>
        <sz val="11"/>
        <color theme="1"/>
        <rFont val="Calibri"/>
        <family val="2"/>
        <scheme val="minor"/>
      </rPr>
      <t>P</t>
    </r>
    <r>
      <rPr>
        <b/>
        <vertAlign val="subscript"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>):</t>
    </r>
  </si>
  <si>
    <t>V supply (V terminal) = 2000 * k1 * flux linkage</t>
  </si>
  <si>
    <r>
      <t>Motor may actually produce (</t>
    </r>
    <r>
      <rPr>
        <b/>
        <sz val="11"/>
        <color theme="1"/>
        <rFont val="Calibri"/>
        <family val="2"/>
        <scheme val="minor"/>
      </rPr>
      <t>P</t>
    </r>
    <r>
      <rPr>
        <b/>
        <vertAlign val="subscript"/>
        <sz val="11"/>
        <color theme="1"/>
        <rFont val="Calibri"/>
        <family val="2"/>
        <scheme val="minor"/>
      </rPr>
      <t>act</t>
    </r>
    <r>
      <rPr>
        <sz val="11"/>
        <color theme="1"/>
        <rFont val="Calibri"/>
        <family val="2"/>
        <scheme val="minor"/>
      </rPr>
      <t>):</t>
    </r>
  </si>
  <si>
    <t>Only torque is affected by degradation factor</t>
  </si>
  <si>
    <r>
      <t>Input Power (</t>
    </r>
    <r>
      <rPr>
        <b/>
        <sz val="11"/>
        <color theme="1"/>
        <rFont val="Calibri"/>
        <family val="2"/>
        <scheme val="minor"/>
      </rPr>
      <t>P</t>
    </r>
    <r>
      <rPr>
        <b/>
        <vertAlign val="subscript"/>
        <sz val="11"/>
        <color theme="1"/>
        <rFont val="Calibri"/>
        <family val="2"/>
        <scheme val="minor"/>
      </rPr>
      <t>in</t>
    </r>
    <r>
      <rPr>
        <sz val="11"/>
        <color theme="1"/>
        <rFont val="Calibri"/>
        <family val="2"/>
        <scheme val="minor"/>
      </rPr>
      <t>):</t>
    </r>
  </si>
  <si>
    <r>
      <t>Rotor Laminations (r</t>
    </r>
    <r>
      <rPr>
        <b/>
        <vertAlign val="subscript"/>
        <sz val="11"/>
        <color theme="1"/>
        <rFont val="Calibri"/>
        <family val="2"/>
        <scheme val="minor"/>
      </rPr>
      <t>min</t>
    </r>
    <r>
      <rPr>
        <b/>
        <sz val="11"/>
        <color theme="1"/>
        <rFont val="Calibri"/>
        <family val="2"/>
        <scheme val="minor"/>
      </rPr>
      <t>,r</t>
    </r>
    <r>
      <rPr>
        <b/>
        <vertAlign val="subscript"/>
        <sz val="11"/>
        <color theme="1"/>
        <rFont val="Calibri"/>
        <family val="2"/>
        <scheme val="minor"/>
      </rPr>
      <t>max</t>
    </r>
    <r>
      <rPr>
        <b/>
        <sz val="11"/>
        <color theme="1"/>
        <rFont val="Calibri"/>
        <family val="2"/>
        <scheme val="minor"/>
      </rPr>
      <t>):</t>
    </r>
  </si>
  <si>
    <t>angular freqeuncy = RPM / (30/pi)</t>
  </si>
  <si>
    <t>P max at half terminal speed</t>
  </si>
  <si>
    <t>Find Ea at this point</t>
  </si>
  <si>
    <t>&lt;45m length of wire</t>
  </si>
  <si>
    <t>Other important values</t>
  </si>
  <si>
    <t>Find Ia = (Vsupply-Ea)/R</t>
  </si>
  <si>
    <t>&lt;5A</t>
  </si>
  <si>
    <t>Lamination type</t>
  </si>
  <si>
    <t>Lam 1</t>
  </si>
  <si>
    <t xml:space="preserve">Find torque at this point of I </t>
  </si>
  <si>
    <t>&lt;30V</t>
  </si>
  <si>
    <t>Area of slot</t>
  </si>
  <si>
    <t>Torque with DF</t>
  </si>
  <si>
    <t>&lt;2000RPM</t>
  </si>
  <si>
    <t>p.f.</t>
  </si>
  <si>
    <t>Area of slot with p.f</t>
  </si>
  <si>
    <t>tmax&gt;0.000845Nm</t>
  </si>
  <si>
    <t>Number wires that can fit in area with p.f</t>
  </si>
  <si>
    <t xml:space="preserve">SELECTED WIRE PROPERTIES </t>
  </si>
  <si>
    <t>AWG</t>
  </si>
  <si>
    <t>Diameter (in)</t>
  </si>
  <si>
    <t>Diameter (mm)</t>
  </si>
  <si>
    <t>Turns/in</t>
  </si>
  <si>
    <t>Turns/cm</t>
  </si>
  <si>
    <t>Area (kcmil)</t>
  </si>
  <si>
    <t>Area (mm²)</t>
  </si>
  <si>
    <t>Resistance (mΩ/m)</t>
  </si>
  <si>
    <t>Resistance (mΩ/ft)</t>
  </si>
  <si>
    <t>Source</t>
  </si>
  <si>
    <t xml:space="preserve">SELECTED MAGNET PROPERTIES  </t>
  </si>
  <si>
    <t>Code</t>
  </si>
  <si>
    <t>B (G)</t>
  </si>
  <si>
    <t>B (T)</t>
  </si>
  <si>
    <t>Length L (mm)</t>
  </si>
  <si>
    <t>Width W (mm)</t>
  </si>
  <si>
    <t>Height (mm)</t>
  </si>
  <si>
    <t>Area A (cm²)</t>
  </si>
  <si>
    <t>PHI (mWb)</t>
  </si>
  <si>
    <t># slots</t>
  </si>
  <si>
    <t>thickness of slot (mm)</t>
  </si>
  <si>
    <t>total radius (mm)</t>
  </si>
  <si>
    <t>radius of slot (mm)</t>
  </si>
  <si>
    <t>width of slot (mm)</t>
  </si>
  <si>
    <t>pitch angle (degrees)</t>
  </si>
  <si>
    <t>Area of slot (mm^2)</t>
  </si>
  <si>
    <t>Lam 2</t>
  </si>
  <si>
    <t>SELECTED LAMINATION PROPERTIES</t>
  </si>
  <si>
    <t>Lamination</t>
  </si>
  <si>
    <t>AVAILABLE MAGNETS</t>
  </si>
  <si>
    <t>CODE</t>
  </si>
  <si>
    <t>LENGTH (L) (mm)</t>
  </si>
  <si>
    <t>WIDTH (W) (mm)</t>
  </si>
  <si>
    <t>HEIGHT (mm)</t>
  </si>
  <si>
    <r>
      <t>A (LxW) (cm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</si>
  <si>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#2522</t>
  </si>
  <si>
    <t>#3460</t>
  </si>
  <si>
    <t>#3470</t>
  </si>
  <si>
    <t>LM1614</t>
  </si>
  <si>
    <t>By: Farzad Farajizadeh (20.04.2019)</t>
  </si>
  <si>
    <t>Diameter</t>
  </si>
  <si>
    <t>Turns of wire, without insulation</t>
  </si>
  <si>
    <t>Area</t>
  </si>
  <si>
    <t>Resistance/Length</t>
  </si>
  <si>
    <r>
      <t>I</t>
    </r>
    <r>
      <rPr>
        <vertAlign val="subscript"/>
        <sz val="11"/>
        <color theme="1"/>
        <rFont val="Calibri"/>
        <family val="2"/>
        <scheme val="minor"/>
      </rPr>
      <t xml:space="preserve">a,max </t>
    </r>
    <r>
      <rPr>
        <sz val="11"/>
        <color theme="1"/>
        <rFont val="Calibri"/>
        <family val="2"/>
        <scheme val="minor"/>
      </rPr>
      <t>(A) =  JxAxa</t>
    </r>
  </si>
  <si>
    <t>(in)</t>
  </si>
  <si>
    <t>(mm)</t>
  </si>
  <si>
    <t>(per in)</t>
  </si>
  <si>
    <t>(per cm)</t>
  </si>
  <si>
    <t>(kcmil)</t>
  </si>
  <si>
    <t>(mm^2)</t>
  </si>
  <si>
    <r>
      <t>m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  <scheme val="minor"/>
      </rPr>
      <t>/m</t>
    </r>
  </si>
  <si>
    <r>
      <t>m</t>
    </r>
    <r>
      <rPr>
        <sz val="11"/>
        <color theme="1"/>
        <rFont val="Symbol"/>
        <family val="1"/>
        <charset val="2"/>
      </rPr>
      <t>W</t>
    </r>
    <r>
      <rPr>
        <sz val="12.65"/>
        <color theme="1"/>
        <rFont val="Calibri"/>
        <family val="2"/>
      </rPr>
      <t>/ft</t>
    </r>
  </si>
  <si>
    <t>Refer to interface</t>
  </si>
  <si>
    <t>0000 (4/0)</t>
  </si>
  <si>
    <t>a=2</t>
  </si>
  <si>
    <t>000 (3/0)</t>
  </si>
  <si>
    <t>J =4</t>
  </si>
  <si>
    <t>per mm</t>
  </si>
  <si>
    <t>J=4/(1000^2)</t>
  </si>
  <si>
    <t>per m</t>
  </si>
  <si>
    <t>00 (2/0)</t>
  </si>
  <si>
    <t>0 (1/0)</t>
  </si>
  <si>
    <t xml:space="preserve">Best current </t>
  </si>
  <si>
    <t>Best current for selected AWG</t>
  </si>
  <si>
    <t>AWG = 18</t>
  </si>
  <si>
    <t xml:space="preserve">max number of turns </t>
  </si>
  <si>
    <t>divide by 2 for number of turns per coil as two coils will go through slot then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</si>
</sst>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2.65"/>
      <color theme="1"/>
      <name val="Calibri"/>
      <family val="2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70C0"/>
      <name val="Calibri"/>
      <family val="2"/>
    </font>
    <font>
      <b/>
      <vertAlign val="subscript"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70C0"/>
      <name val="Calibri"/>
      <family val="2"/>
    </font>
    <font>
      <vertAlign val="superscript"/>
      <sz val="11"/>
      <color rgb="FF000000"/>
      <name val="Calibri"/>
      <family val="2"/>
    </font>
    <font>
      <sz val="11"/>
      <color rgb="FF000000"/>
      <name val="Symbol"/>
      <family val="1"/>
      <charset val="2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FFFFFF"/>
      <name val="Arial"/>
      <charset val="1"/>
    </font>
    <font>
      <sz val="11"/>
      <color theme="0"/>
      <name val="Calibri"/>
      <family val="2"/>
      <scheme val="minor"/>
    </font>
    <font>
      <sz val="11"/>
      <color rgb="FF242424"/>
      <name val="Consolas"/>
      <charset val="1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BF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8EDEC"/>
        <bgColor indexed="64"/>
      </patternFill>
    </fill>
    <fill>
      <patternFill patternType="solid">
        <fgColor rgb="FFF2F6E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EEFE2"/>
        <bgColor indexed="64"/>
      </patternFill>
    </fill>
    <fill>
      <patternFill patternType="solid">
        <fgColor rgb="FFEEECE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7FA"/>
        <bgColor indexed="64"/>
      </patternFill>
    </fill>
    <fill>
      <patternFill patternType="solid">
        <fgColor rgb="FFFEFFEB"/>
        <bgColor indexed="64"/>
      </patternFill>
    </fill>
    <fill>
      <patternFill patternType="solid">
        <fgColor rgb="FFF1EFE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E0EBF8"/>
        <bgColor rgb="FF000000"/>
      </patternFill>
    </fill>
    <fill>
      <patternFill patternType="solid">
        <fgColor rgb="FFFEEFE2"/>
        <bgColor rgb="FF000000"/>
      </patternFill>
    </fill>
    <fill>
      <patternFill patternType="solid">
        <fgColor rgb="FFEEECE2"/>
        <bgColor rgb="FF000000"/>
      </patternFill>
    </fill>
    <fill>
      <patternFill patternType="solid">
        <fgColor rgb="FFF8EDEC"/>
        <bgColor rgb="FF000000"/>
      </patternFill>
    </fill>
    <fill>
      <patternFill patternType="solid">
        <fgColor rgb="FFFFE7FA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2F6EA"/>
        <bgColor rgb="FF000000"/>
      </patternFill>
    </fill>
    <fill>
      <patternFill patternType="solid">
        <fgColor rgb="FFFEFFEB"/>
        <bgColor rgb="FF000000"/>
      </patternFill>
    </fill>
    <fill>
      <patternFill patternType="solid">
        <fgColor rgb="FFF1EFE7"/>
        <bgColor rgb="FF000000"/>
      </patternFill>
    </fill>
    <fill>
      <patternFill patternType="solid">
        <fgColor rgb="FF66FF66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0070C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</fills>
  <borders count="96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 diagonalUp="1" diagonalDown="1"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 diagonalUp="1" diagonalDown="1"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 style="thin">
        <color auto="1"/>
      </diagonal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theme="1"/>
      </left>
      <right style="thin">
        <color theme="1"/>
      </right>
      <top style="thick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ck">
        <color theme="1"/>
      </top>
      <bottom style="thin">
        <color theme="1"/>
      </bottom>
      <diagonal/>
    </border>
    <border>
      <left style="thin">
        <color theme="1"/>
      </left>
      <right style="thick">
        <color theme="1"/>
      </right>
      <top style="thick">
        <color theme="1"/>
      </top>
      <bottom style="thin">
        <color theme="1"/>
      </bottom>
      <diagonal/>
    </border>
    <border>
      <left style="thick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ck">
        <color theme="1"/>
      </right>
      <top style="thin">
        <color theme="1"/>
      </top>
      <bottom style="thin">
        <color theme="1"/>
      </bottom>
      <diagonal/>
    </border>
    <border>
      <left style="thick">
        <color theme="1"/>
      </left>
      <right style="thin">
        <color theme="1"/>
      </right>
      <top style="thin">
        <color theme="1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theme="1"/>
      </bottom>
      <diagonal/>
    </border>
    <border>
      <left style="thin">
        <color theme="1"/>
      </left>
      <right style="thick">
        <color theme="1"/>
      </right>
      <top style="thin">
        <color theme="1"/>
      </top>
      <bottom style="thick">
        <color theme="1"/>
      </bottom>
      <diagonal/>
    </border>
    <border>
      <left style="thick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ck">
        <color theme="1"/>
      </right>
      <top style="thin">
        <color theme="1"/>
      </top>
      <bottom/>
      <diagonal/>
    </border>
    <border>
      <left style="thick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ck">
        <color theme="1"/>
      </right>
      <top/>
      <bottom style="thin">
        <color theme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theme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theme="1"/>
      </left>
      <right style="thick">
        <color theme="1"/>
      </right>
      <top style="thin">
        <color theme="1"/>
      </top>
      <bottom style="thin">
        <color theme="1"/>
      </bottom>
      <diagonal/>
    </border>
    <border>
      <left style="thick">
        <color theme="1"/>
      </left>
      <right style="thick">
        <color theme="1"/>
      </right>
      <top style="thin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rgb="FF000000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ck">
        <color rgb="FF000000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rgb="FF000000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 diagonalUp="1" diagonalDown="1">
      <left/>
      <right style="thick">
        <color indexed="64"/>
      </right>
      <top/>
      <bottom style="thin">
        <color indexed="64"/>
      </bottom>
      <diagonal style="thin">
        <color indexed="64"/>
      </diagonal>
    </border>
    <border>
      <left/>
      <right style="thin">
        <color rgb="FF000000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 diagonalUp="1" diagonalDown="1">
      <left/>
      <right style="thick">
        <color indexed="64"/>
      </right>
      <top/>
      <bottom style="thick">
        <color indexed="64"/>
      </bottom>
      <diagonal style="thin">
        <color indexed="64"/>
      </diagonal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0">
    <xf numFmtId="0" fontId="0" fillId="0" borderId="0" xfId="0"/>
    <xf numFmtId="9" fontId="0" fillId="0" borderId="0" xfId="1" applyFont="1"/>
    <xf numFmtId="0" fontId="0" fillId="0" borderId="0" xfId="0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4" borderId="11" xfId="0" applyFill="1" applyBorder="1"/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7" xfId="0" applyFill="1" applyBorder="1"/>
    <xf numFmtId="0" fontId="0" fillId="6" borderId="11" xfId="0" applyFill="1" applyBorder="1"/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0" fillId="7" borderId="7" xfId="0" applyFill="1" applyBorder="1"/>
    <xf numFmtId="0" fontId="2" fillId="9" borderId="6" xfId="0" applyFont="1" applyFill="1" applyBorder="1" applyAlignment="1">
      <alignment horizontal="center" vertical="center"/>
    </xf>
    <xf numFmtId="0" fontId="0" fillId="9" borderId="7" xfId="0" applyFill="1" applyBorder="1"/>
    <xf numFmtId="9" fontId="0" fillId="9" borderId="9" xfId="0" applyNumberFormat="1" applyFill="1" applyBorder="1" applyAlignment="1">
      <alignment horizontal="center" vertical="center"/>
    </xf>
    <xf numFmtId="0" fontId="0" fillId="9" borderId="11" xfId="0" applyFill="1" applyBorder="1"/>
    <xf numFmtId="0" fontId="2" fillId="10" borderId="6" xfId="0" applyFont="1" applyFill="1" applyBorder="1" applyAlignment="1">
      <alignment horizontal="center" vertical="center"/>
    </xf>
    <xf numFmtId="0" fontId="0" fillId="10" borderId="11" xfId="0" applyFill="1" applyBorder="1"/>
    <xf numFmtId="0" fontId="2" fillId="12" borderId="6" xfId="0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horizontal="center" vertical="center"/>
    </xf>
    <xf numFmtId="0" fontId="0" fillId="13" borderId="7" xfId="0" applyFill="1" applyBorder="1"/>
    <xf numFmtId="0" fontId="2" fillId="14" borderId="6" xfId="0" applyFont="1" applyFill="1" applyBorder="1" applyAlignment="1">
      <alignment horizontal="center" vertical="center"/>
    </xf>
    <xf numFmtId="0" fontId="0" fillId="14" borderId="11" xfId="0" applyFill="1" applyBorder="1"/>
    <xf numFmtId="0" fontId="0" fillId="7" borderId="4" xfId="0" applyFill="1" applyBorder="1" applyAlignment="1">
      <alignment horizontal="left" vertical="center"/>
    </xf>
    <xf numFmtId="0" fontId="0" fillId="7" borderId="8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0" fillId="6" borderId="8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6" borderId="6" xfId="0" applyFill="1" applyBorder="1" applyAlignment="1">
      <alignment vertical="center"/>
    </xf>
    <xf numFmtId="0" fontId="0" fillId="7" borderId="6" xfId="0" applyFill="1" applyBorder="1" applyAlignment="1">
      <alignment vertical="center"/>
    </xf>
    <xf numFmtId="0" fontId="0" fillId="7" borderId="10" xfId="0" applyFill="1" applyBorder="1" applyAlignment="1">
      <alignment vertical="center"/>
    </xf>
    <xf numFmtId="0" fontId="0" fillId="14" borderId="6" xfId="0" applyFill="1" applyBorder="1" applyAlignment="1">
      <alignment vertical="center"/>
    </xf>
    <xf numFmtId="0" fontId="0" fillId="13" borderId="6" xfId="0" applyFill="1" applyBorder="1" applyAlignment="1">
      <alignment vertical="center"/>
    </xf>
    <xf numFmtId="0" fontId="0" fillId="13" borderId="10" xfId="0" applyFill="1" applyBorder="1" applyAlignment="1">
      <alignment vertical="center"/>
    </xf>
    <xf numFmtId="0" fontId="0" fillId="12" borderId="6" xfId="0" applyFill="1" applyBorder="1" applyAlignment="1">
      <alignment vertical="center"/>
    </xf>
    <xf numFmtId="0" fontId="0" fillId="12" borderId="10" xfId="0" applyFill="1" applyBorder="1" applyAlignment="1">
      <alignment vertical="center"/>
    </xf>
    <xf numFmtId="0" fontId="0" fillId="10" borderId="6" xfId="0" applyFill="1" applyBorder="1" applyAlignment="1">
      <alignment vertical="center"/>
    </xf>
    <xf numFmtId="9" fontId="0" fillId="10" borderId="9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3" fillId="2" borderId="31" xfId="0" applyFont="1" applyFill="1" applyBorder="1" applyAlignment="1">
      <alignment horizontal="center" wrapText="1"/>
    </xf>
    <xf numFmtId="0" fontId="3" fillId="5" borderId="20" xfId="0" applyFont="1" applyFill="1" applyBorder="1" applyAlignment="1">
      <alignment horizontal="center" wrapText="1"/>
    </xf>
    <xf numFmtId="0" fontId="3" fillId="5" borderId="21" xfId="0" applyFont="1" applyFill="1" applyBorder="1" applyAlignment="1">
      <alignment horizontal="center" wrapText="1"/>
    </xf>
    <xf numFmtId="0" fontId="3" fillId="5" borderId="22" xfId="0" applyFont="1" applyFill="1" applyBorder="1" applyAlignment="1">
      <alignment horizontal="center" wrapText="1"/>
    </xf>
    <xf numFmtId="0" fontId="3" fillId="5" borderId="23" xfId="0" applyFont="1" applyFill="1" applyBorder="1" applyAlignment="1">
      <alignment horizontal="center" wrapText="1"/>
    </xf>
    <xf numFmtId="0" fontId="3" fillId="5" borderId="24" xfId="0" applyFont="1" applyFill="1" applyBorder="1" applyAlignment="1">
      <alignment horizontal="center" wrapText="1"/>
    </xf>
    <xf numFmtId="0" fontId="3" fillId="5" borderId="25" xfId="0" applyFont="1" applyFill="1" applyBorder="1" applyAlignment="1">
      <alignment horizontal="center" wrapText="1"/>
    </xf>
    <xf numFmtId="0" fontId="3" fillId="5" borderId="26" xfId="0" applyFont="1" applyFill="1" applyBorder="1" applyAlignment="1">
      <alignment horizontal="center" wrapText="1"/>
    </xf>
    <xf numFmtId="0" fontId="3" fillId="5" borderId="27" xfId="0" applyFont="1" applyFill="1" applyBorder="1" applyAlignment="1">
      <alignment horizontal="center" wrapText="1"/>
    </xf>
    <xf numFmtId="0" fontId="3" fillId="5" borderId="28" xfId="0" applyFont="1" applyFill="1" applyBorder="1" applyAlignment="1">
      <alignment horizontal="center" wrapText="1"/>
    </xf>
    <xf numFmtId="0" fontId="3" fillId="2" borderId="32" xfId="0" applyFont="1" applyFill="1" applyBorder="1" applyAlignment="1">
      <alignment horizontal="center" wrapText="1"/>
    </xf>
    <xf numFmtId="0" fontId="3" fillId="2" borderId="33" xfId="0" applyFont="1" applyFill="1" applyBorder="1" applyAlignment="1">
      <alignment horizontal="center" wrapText="1"/>
    </xf>
    <xf numFmtId="0" fontId="3" fillId="2" borderId="34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0" borderId="0" xfId="0" applyProtection="1">
      <protection locked="0"/>
    </xf>
    <xf numFmtId="0" fontId="2" fillId="3" borderId="4" xfId="0" applyFont="1" applyFill="1" applyBorder="1" applyAlignment="1">
      <alignment horizontal="left" vertical="center"/>
    </xf>
    <xf numFmtId="0" fontId="0" fillId="14" borderId="4" xfId="0" applyFill="1" applyBorder="1" applyAlignment="1">
      <alignment horizontal="left" vertical="center"/>
    </xf>
    <xf numFmtId="0" fontId="0" fillId="11" borderId="4" xfId="0" applyFill="1" applyBorder="1" applyAlignment="1">
      <alignment horizontal="left" vertical="center"/>
    </xf>
    <xf numFmtId="0" fontId="6" fillId="13" borderId="6" xfId="0" applyFont="1" applyFill="1" applyBorder="1" applyAlignment="1">
      <alignment vertical="center"/>
    </xf>
    <xf numFmtId="0" fontId="2" fillId="3" borderId="8" xfId="0" applyFont="1" applyFill="1" applyBorder="1"/>
    <xf numFmtId="0" fontId="0" fillId="11" borderId="7" xfId="0" applyFill="1" applyBorder="1"/>
    <xf numFmtId="0" fontId="2" fillId="3" borderId="39" xfId="0" applyFont="1" applyFill="1" applyBorder="1" applyAlignment="1">
      <alignment horizontal="right" vertical="center"/>
    </xf>
    <xf numFmtId="0" fontId="2" fillId="3" borderId="46" xfId="0" applyFont="1" applyFill="1" applyBorder="1" applyAlignment="1">
      <alignment horizontal="center" vertical="center"/>
    </xf>
    <xf numFmtId="0" fontId="13" fillId="10" borderId="5" xfId="0" applyFont="1" applyFill="1" applyBorder="1" applyAlignment="1" applyProtection="1">
      <alignment horizontal="center" vertical="center"/>
      <protection locked="0"/>
    </xf>
    <xf numFmtId="0" fontId="12" fillId="4" borderId="9" xfId="0" applyFont="1" applyFill="1" applyBorder="1" applyAlignment="1" applyProtection="1">
      <alignment horizontal="center" vertical="center"/>
      <protection locked="0"/>
    </xf>
    <xf numFmtId="0" fontId="12" fillId="6" borderId="5" xfId="0" applyFont="1" applyFill="1" applyBorder="1" applyAlignment="1" applyProtection="1">
      <alignment horizontal="center" vertical="center"/>
      <protection locked="0"/>
    </xf>
    <xf numFmtId="0" fontId="12" fillId="11" borderId="5" xfId="0" applyFont="1" applyFill="1" applyBorder="1" applyAlignment="1" applyProtection="1">
      <alignment horizontal="center" vertical="center"/>
      <protection locked="0"/>
    </xf>
    <xf numFmtId="0" fontId="12" fillId="7" borderId="5" xfId="0" applyFont="1" applyFill="1" applyBorder="1" applyAlignment="1" applyProtection="1">
      <alignment horizontal="center" vertical="center"/>
      <protection locked="0"/>
    </xf>
    <xf numFmtId="0" fontId="12" fillId="7" borderId="9" xfId="0" applyFont="1" applyFill="1" applyBorder="1" applyAlignment="1" applyProtection="1">
      <alignment horizontal="center" vertical="center"/>
      <protection locked="0"/>
    </xf>
    <xf numFmtId="9" fontId="12" fillId="9" borderId="5" xfId="0" applyNumberFormat="1" applyFont="1" applyFill="1" applyBorder="1" applyAlignment="1" applyProtection="1">
      <alignment horizontal="center" vertical="center"/>
      <protection locked="0"/>
    </xf>
    <xf numFmtId="0" fontId="12" fillId="12" borderId="5" xfId="0" applyFont="1" applyFill="1" applyBorder="1" applyAlignment="1" applyProtection="1">
      <alignment horizontal="center" vertical="center"/>
      <protection locked="0"/>
    </xf>
    <xf numFmtId="0" fontId="12" fillId="12" borderId="9" xfId="0" applyFont="1" applyFill="1" applyBorder="1" applyAlignment="1" applyProtection="1">
      <alignment horizontal="center" vertical="center"/>
      <protection locked="0"/>
    </xf>
    <xf numFmtId="0" fontId="12" fillId="13" borderId="5" xfId="0" applyFont="1" applyFill="1" applyBorder="1" applyAlignment="1" applyProtection="1">
      <alignment horizontal="center" vertical="center"/>
      <protection locked="0"/>
    </xf>
    <xf numFmtId="0" fontId="12" fillId="13" borderId="9" xfId="0" applyFont="1" applyFill="1" applyBorder="1" applyAlignment="1" applyProtection="1">
      <alignment horizontal="center" vertical="center"/>
      <protection locked="0"/>
    </xf>
    <xf numFmtId="0" fontId="12" fillId="14" borderId="5" xfId="0" applyFont="1" applyFill="1" applyBorder="1" applyAlignment="1" applyProtection="1">
      <alignment horizontal="center" vertical="center"/>
      <protection locked="0"/>
    </xf>
    <xf numFmtId="0" fontId="12" fillId="14" borderId="9" xfId="0" applyFont="1" applyFill="1" applyBorder="1" applyAlignment="1" applyProtection="1">
      <alignment horizontal="center" vertical="center"/>
      <protection locked="0"/>
    </xf>
    <xf numFmtId="0" fontId="2" fillId="0" borderId="42" xfId="0" applyFont="1" applyBorder="1" applyAlignment="1">
      <alignment horizontal="center"/>
    </xf>
    <xf numFmtId="0" fontId="2" fillId="0" borderId="42" xfId="0" applyFont="1" applyBorder="1" applyAlignment="1">
      <alignment horizontal="center" vertical="center"/>
    </xf>
    <xf numFmtId="0" fontId="12" fillId="3" borderId="46" xfId="0" applyFont="1" applyFill="1" applyBorder="1" applyAlignment="1" applyProtection="1">
      <alignment horizontal="center" vertical="center"/>
      <protection locked="0"/>
    </xf>
    <xf numFmtId="14" fontId="12" fillId="3" borderId="47" xfId="0" applyNumberFormat="1" applyFont="1" applyFill="1" applyBorder="1" applyAlignment="1" applyProtection="1">
      <alignment horizontal="center" vertical="center"/>
      <protection locked="0"/>
    </xf>
    <xf numFmtId="0" fontId="0" fillId="0" borderId="51" xfId="0" applyBorder="1" applyProtection="1">
      <protection locked="0"/>
    </xf>
    <xf numFmtId="0" fontId="0" fillId="0" borderId="52" xfId="0" applyBorder="1" applyProtection="1">
      <protection locked="0"/>
    </xf>
    <xf numFmtId="0" fontId="2" fillId="17" borderId="43" xfId="0" applyFont="1" applyFill="1" applyBorder="1" applyAlignment="1">
      <alignment horizontal="center" vertical="center"/>
    </xf>
    <xf numFmtId="0" fontId="2" fillId="16" borderId="44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2" fillId="11" borderId="6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wrapText="1"/>
    </xf>
    <xf numFmtId="0" fontId="14" fillId="18" borderId="62" xfId="0" applyFont="1" applyFill="1" applyBorder="1"/>
    <xf numFmtId="0" fontId="14" fillId="18" borderId="65" xfId="0" applyFont="1" applyFill="1" applyBorder="1"/>
    <xf numFmtId="0" fontId="15" fillId="18" borderId="66" xfId="0" applyFont="1" applyFill="1" applyBorder="1"/>
    <xf numFmtId="0" fontId="14" fillId="18" borderId="66" xfId="0" applyFont="1" applyFill="1" applyBorder="1"/>
    <xf numFmtId="0" fontId="15" fillId="18" borderId="67" xfId="0" applyFont="1" applyFill="1" applyBorder="1"/>
    <xf numFmtId="0" fontId="14" fillId="0" borderId="48" xfId="0" applyFont="1" applyBorder="1"/>
    <xf numFmtId="0" fontId="15" fillId="18" borderId="71" xfId="0" applyFont="1" applyFill="1" applyBorder="1"/>
    <xf numFmtId="0" fontId="15" fillId="0" borderId="71" xfId="0" applyFont="1" applyBorder="1"/>
    <xf numFmtId="0" fontId="15" fillId="18" borderId="74" xfId="0" applyFont="1" applyFill="1" applyBorder="1"/>
    <xf numFmtId="0" fontId="14" fillId="20" borderId="77" xfId="0" applyFont="1" applyFill="1" applyBorder="1"/>
    <xf numFmtId="0" fontId="14" fillId="20" borderId="78" xfId="0" applyFont="1" applyFill="1" applyBorder="1"/>
    <xf numFmtId="0" fontId="14" fillId="20" borderId="79" xfId="0" applyFont="1" applyFill="1" applyBorder="1"/>
    <xf numFmtId="0" fontId="14" fillId="21" borderId="78" xfId="0" applyFont="1" applyFill="1" applyBorder="1"/>
    <xf numFmtId="0" fontId="14" fillId="21" borderId="79" xfId="0" applyFont="1" applyFill="1" applyBorder="1"/>
    <xf numFmtId="0" fontId="17" fillId="20" borderId="77" xfId="0" applyFont="1" applyFill="1" applyBorder="1"/>
    <xf numFmtId="0" fontId="15" fillId="20" borderId="78" xfId="0" applyFont="1" applyFill="1" applyBorder="1"/>
    <xf numFmtId="0" fontId="17" fillId="20" borderId="79" xfId="0" applyFont="1" applyFill="1" applyBorder="1"/>
    <xf numFmtId="0" fontId="15" fillId="21" borderId="78" xfId="0" applyFont="1" applyFill="1" applyBorder="1"/>
    <xf numFmtId="0" fontId="17" fillId="21" borderId="81" xfId="0" applyFont="1" applyFill="1" applyBorder="1"/>
    <xf numFmtId="9" fontId="17" fillId="21" borderId="83" xfId="0" applyNumberFormat="1" applyFont="1" applyFill="1" applyBorder="1"/>
    <xf numFmtId="0" fontId="17" fillId="21" borderId="84" xfId="0" applyFont="1" applyFill="1" applyBorder="1"/>
    <xf numFmtId="0" fontId="17" fillId="20" borderId="85" xfId="0" applyFont="1" applyFill="1" applyBorder="1"/>
    <xf numFmtId="0" fontId="15" fillId="20" borderId="83" xfId="0" applyFont="1" applyFill="1" applyBorder="1"/>
    <xf numFmtId="0" fontId="17" fillId="20" borderId="84" xfId="0" applyFont="1" applyFill="1" applyBorder="1"/>
    <xf numFmtId="0" fontId="14" fillId="22" borderId="78" xfId="0" applyFont="1" applyFill="1" applyBorder="1"/>
    <xf numFmtId="0" fontId="14" fillId="22" borderId="79" xfId="0" applyFont="1" applyFill="1" applyBorder="1"/>
    <xf numFmtId="0" fontId="14" fillId="23" borderId="77" xfId="0" applyFont="1" applyFill="1" applyBorder="1"/>
    <xf numFmtId="0" fontId="14" fillId="23" borderId="78" xfId="0" applyFont="1" applyFill="1" applyBorder="1"/>
    <xf numFmtId="0" fontId="14" fillId="23" borderId="79" xfId="0" applyFont="1" applyFill="1" applyBorder="1"/>
    <xf numFmtId="0" fontId="18" fillId="22" borderId="78" xfId="0" applyFont="1" applyFill="1" applyBorder="1"/>
    <xf numFmtId="0" fontId="17" fillId="22" borderId="79" xfId="0" applyFont="1" applyFill="1" applyBorder="1"/>
    <xf numFmtId="0" fontId="17" fillId="23" borderId="77" xfId="0" applyFont="1" applyFill="1" applyBorder="1"/>
    <xf numFmtId="0" fontId="15" fillId="23" borderId="78" xfId="0" applyFont="1" applyFill="1" applyBorder="1"/>
    <xf numFmtId="0" fontId="15" fillId="23" borderId="81" xfId="0" applyFont="1" applyFill="1" applyBorder="1"/>
    <xf numFmtId="9" fontId="17" fillId="22" borderId="83" xfId="0" applyNumberFormat="1" applyFont="1" applyFill="1" applyBorder="1"/>
    <xf numFmtId="0" fontId="17" fillId="22" borderId="84" xfId="0" applyFont="1" applyFill="1" applyBorder="1"/>
    <xf numFmtId="0" fontId="17" fillId="23" borderId="81" xfId="0" applyFont="1" applyFill="1" applyBorder="1"/>
    <xf numFmtId="0" fontId="17" fillId="23" borderId="78" xfId="0" applyFont="1" applyFill="1" applyBorder="1"/>
    <xf numFmtId="0" fontId="17" fillId="23" borderId="79" xfId="0" applyFont="1" applyFill="1" applyBorder="1"/>
    <xf numFmtId="0" fontId="14" fillId="24" borderId="78" xfId="0" applyFont="1" applyFill="1" applyBorder="1"/>
    <xf numFmtId="0" fontId="14" fillId="24" borderId="79" xfId="0" applyFont="1" applyFill="1" applyBorder="1"/>
    <xf numFmtId="0" fontId="17" fillId="25" borderId="77" xfId="0" applyFont="1" applyFill="1" applyBorder="1"/>
    <xf numFmtId="0" fontId="15" fillId="25" borderId="78" xfId="0" applyFont="1" applyFill="1" applyBorder="1"/>
    <xf numFmtId="0" fontId="17" fillId="25" borderId="81" xfId="0" applyFont="1" applyFill="1" applyBorder="1"/>
    <xf numFmtId="0" fontId="15" fillId="24" borderId="78" xfId="0" applyFont="1" applyFill="1" applyBorder="1"/>
    <xf numFmtId="0" fontId="17" fillId="24" borderId="79" xfId="0" applyFont="1" applyFill="1" applyBorder="1"/>
    <xf numFmtId="0" fontId="15" fillId="25" borderId="79" xfId="0" applyFont="1" applyFill="1" applyBorder="1"/>
    <xf numFmtId="0" fontId="17" fillId="23" borderId="85" xfId="0" applyFont="1" applyFill="1" applyBorder="1"/>
    <xf numFmtId="0" fontId="15" fillId="23" borderId="83" xfId="0" applyFont="1" applyFill="1" applyBorder="1"/>
    <xf numFmtId="0" fontId="17" fillId="23" borderId="84" xfId="0" applyFont="1" applyFill="1" applyBorder="1"/>
    <xf numFmtId="0" fontId="15" fillId="24" borderId="83" xfId="0" applyFont="1" applyFill="1" applyBorder="1"/>
    <xf numFmtId="0" fontId="17" fillId="24" borderId="86" xfId="0" applyFont="1" applyFill="1" applyBorder="1"/>
    <xf numFmtId="0" fontId="14" fillId="26" borderId="77" xfId="0" applyFont="1" applyFill="1" applyBorder="1"/>
    <xf numFmtId="0" fontId="14" fillId="26" borderId="78" xfId="0" applyFont="1" applyFill="1" applyBorder="1"/>
    <xf numFmtId="0" fontId="14" fillId="26" borderId="79" xfId="0" applyFont="1" applyFill="1" applyBorder="1"/>
    <xf numFmtId="0" fontId="17" fillId="26" borderId="77" xfId="0" applyFont="1" applyFill="1" applyBorder="1"/>
    <xf numFmtId="0" fontId="15" fillId="26" borderId="78" xfId="0" applyFont="1" applyFill="1" applyBorder="1"/>
    <xf numFmtId="0" fontId="17" fillId="26" borderId="81" xfId="0" applyFont="1" applyFill="1" applyBorder="1"/>
    <xf numFmtId="0" fontId="14" fillId="27" borderId="78" xfId="0" applyFont="1" applyFill="1" applyBorder="1"/>
    <xf numFmtId="0" fontId="14" fillId="27" borderId="79" xfId="0" applyFont="1" applyFill="1" applyBorder="1"/>
    <xf numFmtId="0" fontId="15" fillId="27" borderId="78" xfId="0" applyFont="1" applyFill="1" applyBorder="1"/>
    <xf numFmtId="0" fontId="17" fillId="27" borderId="81" xfId="0" applyFont="1" applyFill="1" applyBorder="1"/>
    <xf numFmtId="0" fontId="17" fillId="26" borderId="79" xfId="0" applyFont="1" applyFill="1" applyBorder="1"/>
    <xf numFmtId="0" fontId="17" fillId="27" borderId="79" xfId="0" applyFont="1" applyFill="1" applyBorder="1"/>
    <xf numFmtId="0" fontId="20" fillId="27" borderId="79" xfId="0" applyFont="1" applyFill="1" applyBorder="1"/>
    <xf numFmtId="0" fontId="15" fillId="27" borderId="83" xfId="0" applyFont="1" applyFill="1" applyBorder="1"/>
    <xf numFmtId="0" fontId="17" fillId="27" borderId="86" xfId="0" applyFont="1" applyFill="1" applyBorder="1"/>
    <xf numFmtId="0" fontId="14" fillId="28" borderId="78" xfId="0" applyFont="1" applyFill="1" applyBorder="1"/>
    <xf numFmtId="0" fontId="14" fillId="28" borderId="79" xfId="0" applyFont="1" applyFill="1" applyBorder="1"/>
    <xf numFmtId="0" fontId="17" fillId="28" borderId="78" xfId="0" applyFont="1" applyFill="1" applyBorder="1"/>
    <xf numFmtId="0" fontId="15" fillId="28" borderId="78" xfId="0" applyFont="1" applyFill="1" applyBorder="1"/>
    <xf numFmtId="0" fontId="17" fillId="28" borderId="79" xfId="0" applyFont="1" applyFill="1" applyBorder="1"/>
    <xf numFmtId="0" fontId="17" fillId="26" borderId="85" xfId="0" applyFont="1" applyFill="1" applyBorder="1"/>
    <xf numFmtId="0" fontId="15" fillId="26" borderId="83" xfId="0" applyFont="1" applyFill="1" applyBorder="1"/>
    <xf numFmtId="0" fontId="17" fillId="26" borderId="86" xfId="0" applyFont="1" applyFill="1" applyBorder="1"/>
    <xf numFmtId="0" fontId="14" fillId="18" borderId="77" xfId="0" applyFont="1" applyFill="1" applyBorder="1"/>
    <xf numFmtId="0" fontId="15" fillId="28" borderId="83" xfId="0" applyFont="1" applyFill="1" applyBorder="1"/>
    <xf numFmtId="0" fontId="17" fillId="28" borderId="84" xfId="0" applyFont="1" applyFill="1" applyBorder="1"/>
    <xf numFmtId="0" fontId="14" fillId="18" borderId="85" xfId="0" applyFont="1" applyFill="1" applyBorder="1"/>
    <xf numFmtId="0" fontId="14" fillId="0" borderId="83" xfId="0" applyFont="1" applyBorder="1"/>
    <xf numFmtId="0" fontId="14" fillId="0" borderId="85" xfId="0" applyFont="1" applyBorder="1"/>
    <xf numFmtId="0" fontId="14" fillId="29" borderId="83" xfId="0" applyFont="1" applyFill="1" applyBorder="1"/>
    <xf numFmtId="0" fontId="14" fillId="30" borderId="86" xfId="0" applyFont="1" applyFill="1" applyBorder="1"/>
    <xf numFmtId="0" fontId="12" fillId="12" borderId="5" xfId="0" applyFont="1" applyFill="1" applyBorder="1" applyAlignment="1" applyProtection="1">
      <alignment horizontal="center" vertical="center" wrapText="1"/>
      <protection locked="0"/>
    </xf>
    <xf numFmtId="0" fontId="12" fillId="13" borderId="5" xfId="0" applyFont="1" applyFill="1" applyBorder="1" applyAlignment="1" applyProtection="1">
      <alignment horizontal="center" vertical="center" wrapText="1"/>
      <protection locked="0"/>
    </xf>
    <xf numFmtId="0" fontId="23" fillId="32" borderId="89" xfId="0" applyFont="1" applyFill="1" applyBorder="1"/>
    <xf numFmtId="0" fontId="23" fillId="32" borderId="90" xfId="0" applyFont="1" applyFill="1" applyBorder="1"/>
    <xf numFmtId="0" fontId="0" fillId="33" borderId="0" xfId="0" applyFill="1"/>
    <xf numFmtId="9" fontId="0" fillId="33" borderId="0" xfId="0" applyNumberFormat="1" applyFill="1"/>
    <xf numFmtId="0" fontId="22" fillId="33" borderId="89" xfId="0" applyFont="1" applyFill="1" applyBorder="1"/>
    <xf numFmtId="0" fontId="24" fillId="34" borderId="91" xfId="0" applyFont="1" applyFill="1" applyBorder="1"/>
    <xf numFmtId="0" fontId="24" fillId="34" borderId="94" xfId="0" applyFont="1" applyFill="1" applyBorder="1"/>
    <xf numFmtId="0" fontId="12" fillId="6" borderId="9" xfId="0" applyFont="1" applyFill="1" applyBorder="1" applyAlignment="1" applyProtection="1">
      <alignment horizontal="center" vertical="center" wrapText="1"/>
      <protection locked="0"/>
    </xf>
    <xf numFmtId="0" fontId="12" fillId="4" borderId="5" xfId="0" applyFont="1" applyFill="1" applyBorder="1" applyAlignment="1" applyProtection="1">
      <alignment horizontal="center" vertical="center" wrapText="1"/>
      <protection locked="0"/>
    </xf>
    <xf numFmtId="2" fontId="12" fillId="4" borderId="5" xfId="0" applyNumberFormat="1" applyFont="1" applyFill="1" applyBorder="1" applyAlignment="1" applyProtection="1">
      <alignment horizontal="center" vertical="center" wrapText="1"/>
      <protection locked="0"/>
    </xf>
    <xf numFmtId="0" fontId="0" fillId="5" borderId="0" xfId="0" applyFill="1"/>
    <xf numFmtId="0" fontId="25" fillId="5" borderId="0" xfId="0" applyFont="1" applyFill="1" applyAlignment="1">
      <alignment wrapText="1"/>
    </xf>
    <xf numFmtId="0" fontId="24" fillId="34" borderId="0" xfId="0" applyFont="1" applyFill="1"/>
    <xf numFmtId="0" fontId="17" fillId="0" borderId="0" xfId="0" applyFont="1"/>
    <xf numFmtId="0" fontId="0" fillId="14" borderId="5" xfId="0" applyFill="1" applyBorder="1" applyAlignment="1">
      <alignment horizontal="left" vertical="center"/>
    </xf>
    <xf numFmtId="0" fontId="2" fillId="10" borderId="5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/>
    </xf>
    <xf numFmtId="0" fontId="12" fillId="3" borderId="5" xfId="0" applyFont="1" applyFill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 applyProtection="1">
      <alignment horizontal="center" vertical="center"/>
      <protection locked="0"/>
    </xf>
    <xf numFmtId="0" fontId="2" fillId="0" borderId="48" xfId="0" applyFont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24" fillId="35" borderId="0" xfId="0" applyFont="1" applyFill="1" applyAlignment="1">
      <alignment horizontal="center" wrapText="1"/>
    </xf>
    <xf numFmtId="0" fontId="21" fillId="31" borderId="87" xfId="0" applyFont="1" applyFill="1" applyBorder="1" applyAlignment="1">
      <alignment horizontal="center"/>
    </xf>
    <xf numFmtId="0" fontId="21" fillId="31" borderId="88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15" borderId="42" xfId="0" applyFont="1" applyFill="1" applyBorder="1" applyAlignment="1">
      <alignment horizontal="center" vertical="center"/>
    </xf>
    <xf numFmtId="0" fontId="2" fillId="15" borderId="43" xfId="0" applyFont="1" applyFill="1" applyBorder="1" applyAlignment="1">
      <alignment horizontal="center" vertical="center"/>
    </xf>
    <xf numFmtId="0" fontId="2" fillId="0" borderId="43" xfId="0" applyFont="1" applyBorder="1" applyAlignment="1" applyProtection="1">
      <alignment horizontal="center" vertical="center"/>
      <protection locked="0"/>
    </xf>
    <xf numFmtId="0" fontId="2" fillId="0" borderId="44" xfId="0" applyFont="1" applyBorder="1" applyAlignment="1" applyProtection="1">
      <alignment horizontal="center" vertical="center"/>
      <protection locked="0"/>
    </xf>
    <xf numFmtId="0" fontId="0" fillId="0" borderId="49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50" xfId="0" applyFont="1" applyBorder="1" applyAlignment="1" applyProtection="1">
      <alignment horizontal="center"/>
      <protection locked="0"/>
    </xf>
    <xf numFmtId="0" fontId="2" fillId="0" borderId="36" xfId="0" applyFont="1" applyBorder="1" applyAlignment="1" applyProtection="1">
      <alignment horizontal="center"/>
      <protection locked="0"/>
    </xf>
    <xf numFmtId="0" fontId="2" fillId="0" borderId="37" xfId="0" applyFont="1" applyBorder="1" applyAlignment="1" applyProtection="1">
      <alignment horizontal="center"/>
      <protection locked="0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12" fillId="3" borderId="5" xfId="0" applyFont="1" applyFill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 applyProtection="1">
      <alignment horizontal="center" vertical="center"/>
      <protection locked="0"/>
    </xf>
    <xf numFmtId="0" fontId="0" fillId="14" borderId="18" xfId="0" applyFill="1" applyBorder="1" applyAlignment="1">
      <alignment horizontal="left" vertical="center"/>
    </xf>
    <xf numFmtId="0" fontId="0" fillId="14" borderId="5" xfId="0" applyFill="1" applyBorder="1" applyAlignment="1">
      <alignment horizontal="left" vertical="center"/>
    </xf>
    <xf numFmtId="0" fontId="2" fillId="8" borderId="12" xfId="0" applyFont="1" applyFill="1" applyBorder="1" applyAlignment="1">
      <alignment horizontal="center" vertical="center" textRotation="90"/>
    </xf>
    <xf numFmtId="0" fontId="2" fillId="8" borderId="13" xfId="0" applyFont="1" applyFill="1" applyBorder="1" applyAlignment="1">
      <alignment horizontal="center" vertical="center" textRotation="90"/>
    </xf>
    <xf numFmtId="0" fontId="2" fillId="8" borderId="14" xfId="0" applyFont="1" applyFill="1" applyBorder="1" applyAlignment="1">
      <alignment horizontal="center" vertical="center" textRotation="90"/>
    </xf>
    <xf numFmtId="0" fontId="2" fillId="3" borderId="1" xfId="0" applyFont="1" applyFill="1" applyBorder="1" applyAlignment="1">
      <alignment horizontal="left" vertical="center" textRotation="90" wrapText="1"/>
    </xf>
    <xf numFmtId="0" fontId="2" fillId="3" borderId="4" xfId="0" applyFont="1" applyFill="1" applyBorder="1" applyAlignment="1">
      <alignment horizontal="left" vertical="center" textRotation="90" wrapText="1"/>
    </xf>
    <xf numFmtId="0" fontId="2" fillId="3" borderId="8" xfId="0" applyFont="1" applyFill="1" applyBorder="1" applyAlignment="1">
      <alignment horizontal="left" vertical="center" textRotation="90" wrapText="1"/>
    </xf>
    <xf numFmtId="0" fontId="2" fillId="0" borderId="48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14" borderId="19" xfId="0" applyFill="1" applyBorder="1" applyAlignment="1">
      <alignment horizontal="left" vertical="center"/>
    </xf>
    <xf numFmtId="0" fontId="0" fillId="14" borderId="9" xfId="0" applyFill="1" applyBorder="1" applyAlignment="1">
      <alignment horizontal="left" vertical="center"/>
    </xf>
    <xf numFmtId="0" fontId="0" fillId="13" borderId="8" xfId="0" applyFill="1" applyBorder="1" applyAlignment="1">
      <alignment horizontal="left" vertical="center"/>
    </xf>
    <xf numFmtId="0" fontId="0" fillId="13" borderId="9" xfId="0" applyFill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3" borderId="55" xfId="0" applyFont="1" applyFill="1" applyBorder="1" applyAlignment="1" applyProtection="1">
      <alignment horizontal="center" vertical="center"/>
      <protection locked="0"/>
    </xf>
    <xf numFmtId="0" fontId="12" fillId="3" borderId="56" xfId="0" applyFont="1" applyFill="1" applyBorder="1" applyAlignment="1" applyProtection="1">
      <alignment horizontal="center" vertical="center"/>
      <protection locked="0"/>
    </xf>
    <xf numFmtId="0" fontId="12" fillId="3" borderId="10" xfId="0" applyFont="1" applyFill="1" applyBorder="1" applyAlignment="1" applyProtection="1">
      <alignment horizontal="center" vertical="center"/>
      <protection locked="0"/>
    </xf>
    <xf numFmtId="0" fontId="26" fillId="12" borderId="17" xfId="0" applyFont="1" applyFill="1" applyBorder="1" applyAlignment="1">
      <alignment horizontal="left" vertical="center"/>
    </xf>
    <xf numFmtId="0" fontId="0" fillId="12" borderId="18" xfId="0" applyFill="1" applyBorder="1" applyAlignment="1">
      <alignment horizontal="left" vertical="center"/>
    </xf>
    <xf numFmtId="0" fontId="0" fillId="10" borderId="15" xfId="0" applyFill="1" applyBorder="1" applyAlignment="1">
      <alignment horizontal="left" vertical="center"/>
    </xf>
    <xf numFmtId="0" fontId="0" fillId="10" borderId="19" xfId="0" applyFill="1" applyBorder="1" applyAlignment="1">
      <alignment horizontal="left" vertical="center"/>
    </xf>
    <xf numFmtId="0" fontId="0" fillId="13" borderId="4" xfId="0" applyFill="1" applyBorder="1" applyAlignment="1">
      <alignment horizontal="left" vertical="center"/>
    </xf>
    <xf numFmtId="0" fontId="0" fillId="13" borderId="5" xfId="0" applyFill="1" applyBorder="1" applyAlignment="1">
      <alignment horizontal="left" vertical="center"/>
    </xf>
    <xf numFmtId="0" fontId="0" fillId="12" borderId="17" xfId="0" applyFill="1" applyBorder="1" applyAlignment="1">
      <alignment horizontal="left" vertical="center"/>
    </xf>
    <xf numFmtId="0" fontId="0" fillId="12" borderId="15" xfId="0" applyFill="1" applyBorder="1" applyAlignment="1">
      <alignment horizontal="left" vertical="center"/>
    </xf>
    <xf numFmtId="0" fontId="0" fillId="12" borderId="19" xfId="0" applyFill="1" applyBorder="1" applyAlignment="1">
      <alignment horizontal="left" vertical="center"/>
    </xf>
    <xf numFmtId="0" fontId="24" fillId="35" borderId="93" xfId="0" applyFont="1" applyFill="1" applyBorder="1" applyAlignment="1">
      <alignment horizontal="center"/>
    </xf>
    <xf numFmtId="0" fontId="24" fillId="35" borderId="92" xfId="0" applyFont="1" applyFill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12" fillId="3" borderId="40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0" fillId="10" borderId="17" xfId="0" applyFill="1" applyBorder="1" applyAlignment="1">
      <alignment horizontal="left" vertical="center"/>
    </xf>
    <xf numFmtId="0" fontId="0" fillId="10" borderId="18" xfId="0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0" fillId="9" borderId="17" xfId="0" applyFill="1" applyBorder="1" applyAlignment="1">
      <alignment horizontal="left" vertical="center"/>
    </xf>
    <xf numFmtId="0" fontId="0" fillId="9" borderId="18" xfId="0" applyFill="1" applyBorder="1" applyAlignment="1">
      <alignment horizontal="left" vertical="center"/>
    </xf>
    <xf numFmtId="0" fontId="2" fillId="12" borderId="4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0" fillId="9" borderId="15" xfId="0" applyFill="1" applyBorder="1" applyAlignment="1">
      <alignment horizontal="left" vertical="center"/>
    </xf>
    <xf numFmtId="0" fontId="0" fillId="9" borderId="19" xfId="0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14" fillId="0" borderId="69" xfId="0" applyFont="1" applyBorder="1"/>
    <xf numFmtId="0" fontId="14" fillId="0" borderId="68" xfId="0" applyFont="1" applyBorder="1"/>
    <xf numFmtId="0" fontId="14" fillId="0" borderId="70" xfId="0" applyFont="1" applyBorder="1"/>
    <xf numFmtId="0" fontId="14" fillId="0" borderId="35" xfId="0" applyFont="1" applyBorder="1"/>
    <xf numFmtId="0" fontId="14" fillId="0" borderId="36" xfId="0" applyFont="1" applyBorder="1"/>
    <xf numFmtId="0" fontId="14" fillId="0" borderId="57" xfId="0" applyFont="1" applyBorder="1"/>
    <xf numFmtId="0" fontId="14" fillId="18" borderId="58" xfId="0" applyFont="1" applyFill="1" applyBorder="1"/>
    <xf numFmtId="0" fontId="14" fillId="18" borderId="59" xfId="0" applyFont="1" applyFill="1" applyBorder="1"/>
    <xf numFmtId="0" fontId="14" fillId="18" borderId="60" xfId="0" applyFont="1" applyFill="1" applyBorder="1"/>
    <xf numFmtId="0" fontId="14" fillId="19" borderId="36" xfId="0" applyFont="1" applyFill="1" applyBorder="1"/>
    <xf numFmtId="0" fontId="14" fillId="19" borderId="61" xfId="0" applyFont="1" applyFill="1" applyBorder="1"/>
    <xf numFmtId="0" fontId="15" fillId="18" borderId="63" xfId="0" applyFont="1" applyFill="1" applyBorder="1"/>
    <xf numFmtId="0" fontId="15" fillId="18" borderId="64" xfId="0" applyFont="1" applyFill="1" applyBorder="1"/>
    <xf numFmtId="0" fontId="15" fillId="18" borderId="72" xfId="0" applyFont="1" applyFill="1" applyBorder="1"/>
    <xf numFmtId="0" fontId="15" fillId="18" borderId="18" xfId="0" applyFont="1" applyFill="1" applyBorder="1"/>
    <xf numFmtId="0" fontId="15" fillId="18" borderId="73" xfId="0" applyFont="1" applyFill="1" applyBorder="1"/>
    <xf numFmtId="0" fontId="15" fillId="0" borderId="72" xfId="0" applyFont="1" applyBorder="1"/>
    <xf numFmtId="0" fontId="15" fillId="0" borderId="18" xfId="0" applyFont="1" applyBorder="1"/>
    <xf numFmtId="0" fontId="15" fillId="0" borderId="73" xfId="0" applyFont="1" applyBorder="1"/>
    <xf numFmtId="0" fontId="17" fillId="22" borderId="72" xfId="0" applyFont="1" applyFill="1" applyBorder="1"/>
    <xf numFmtId="0" fontId="17" fillId="22" borderId="80" xfId="0" applyFont="1" applyFill="1" applyBorder="1"/>
    <xf numFmtId="0" fontId="15" fillId="18" borderId="75" xfId="0" applyFont="1" applyFill="1" applyBorder="1"/>
    <xf numFmtId="0" fontId="15" fillId="18" borderId="19" xfId="0" applyFont="1" applyFill="1" applyBorder="1"/>
    <xf numFmtId="0" fontId="15" fillId="18" borderId="76" xfId="0" applyFont="1" applyFill="1" applyBorder="1"/>
    <xf numFmtId="0" fontId="14" fillId="20" borderId="58" xfId="0" applyFont="1" applyFill="1" applyBorder="1"/>
    <xf numFmtId="0" fontId="14" fillId="20" borderId="59" xfId="0" applyFont="1" applyFill="1" applyBorder="1"/>
    <xf numFmtId="0" fontId="14" fillId="20" borderId="60" xfId="0" applyFont="1" applyFill="1" applyBorder="1"/>
    <xf numFmtId="0" fontId="14" fillId="21" borderId="59" xfId="0" applyFont="1" applyFill="1" applyBorder="1"/>
    <xf numFmtId="0" fontId="14" fillId="21" borderId="60" xfId="0" applyFont="1" applyFill="1" applyBorder="1"/>
    <xf numFmtId="0" fontId="14" fillId="21" borderId="72" xfId="0" applyFont="1" applyFill="1" applyBorder="1"/>
    <xf numFmtId="0" fontId="14" fillId="21" borderId="18" xfId="0" applyFont="1" applyFill="1" applyBorder="1"/>
    <xf numFmtId="0" fontId="17" fillId="21" borderId="72" xfId="0" applyFont="1" applyFill="1" applyBorder="1"/>
    <xf numFmtId="0" fontId="17" fillId="21" borderId="80" xfId="0" applyFont="1" applyFill="1" applyBorder="1"/>
    <xf numFmtId="0" fontId="17" fillId="21" borderId="75" xfId="0" applyFont="1" applyFill="1" applyBorder="1"/>
    <xf numFmtId="0" fontId="17" fillId="21" borderId="82" xfId="0" applyFont="1" applyFill="1" applyBorder="1"/>
    <xf numFmtId="0" fontId="14" fillId="22" borderId="59" xfId="0" applyFont="1" applyFill="1" applyBorder="1"/>
    <xf numFmtId="0" fontId="14" fillId="22" borderId="60" xfId="0" applyFont="1" applyFill="1" applyBorder="1"/>
    <xf numFmtId="0" fontId="14" fillId="23" borderId="58" xfId="0" applyFont="1" applyFill="1" applyBorder="1"/>
    <xf numFmtId="0" fontId="14" fillId="23" borderId="59" xfId="0" applyFont="1" applyFill="1" applyBorder="1"/>
    <xf numFmtId="0" fontId="14" fillId="23" borderId="60" xfId="0" applyFont="1" applyFill="1" applyBorder="1"/>
    <xf numFmtId="0" fontId="14" fillId="22" borderId="72" xfId="0" applyFont="1" applyFill="1" applyBorder="1"/>
    <xf numFmtId="0" fontId="14" fillId="22" borderId="18" xfId="0" applyFont="1" applyFill="1" applyBorder="1"/>
    <xf numFmtId="0" fontId="17" fillId="27" borderId="72" xfId="0" applyFont="1" applyFill="1" applyBorder="1"/>
    <xf numFmtId="0" fontId="17" fillId="27" borderId="18" xfId="0" applyFont="1" applyFill="1" applyBorder="1"/>
    <xf numFmtId="0" fontId="17" fillId="22" borderId="75" xfId="0" applyFont="1" applyFill="1" applyBorder="1"/>
    <xf numFmtId="0" fontId="17" fillId="22" borderId="82" xfId="0" applyFont="1" applyFill="1" applyBorder="1"/>
    <xf numFmtId="0" fontId="14" fillId="24" borderId="59" xfId="0" applyFont="1" applyFill="1" applyBorder="1"/>
    <xf numFmtId="0" fontId="14" fillId="24" borderId="60" xfId="0" applyFont="1" applyFill="1" applyBorder="1"/>
    <xf numFmtId="0" fontId="14" fillId="24" borderId="72" xfId="0" applyFont="1" applyFill="1" applyBorder="1"/>
    <xf numFmtId="0" fontId="14" fillId="24" borderId="18" xfId="0" applyFont="1" applyFill="1" applyBorder="1"/>
    <xf numFmtId="0" fontId="17" fillId="24" borderId="72" xfId="0" applyFont="1" applyFill="1" applyBorder="1"/>
    <xf numFmtId="0" fontId="17" fillId="24" borderId="80" xfId="0" applyFont="1" applyFill="1" applyBorder="1"/>
    <xf numFmtId="0" fontId="14" fillId="26" borderId="58" xfId="0" applyFont="1" applyFill="1" applyBorder="1"/>
    <xf numFmtId="0" fontId="14" fillId="26" borderId="59" xfId="0" applyFont="1" applyFill="1" applyBorder="1"/>
    <xf numFmtId="0" fontId="14" fillId="26" borderId="60" xfId="0" applyFont="1" applyFill="1" applyBorder="1"/>
    <xf numFmtId="0" fontId="17" fillId="24" borderId="75" xfId="0" applyFont="1" applyFill="1" applyBorder="1"/>
    <xf numFmtId="0" fontId="17" fillId="24" borderId="82" xfId="0" applyFont="1" applyFill="1" applyBorder="1"/>
    <xf numFmtId="0" fontId="14" fillId="27" borderId="59" xfId="0" applyFont="1" applyFill="1" applyBorder="1"/>
    <xf numFmtId="0" fontId="14" fillId="27" borderId="60" xfId="0" applyFont="1" applyFill="1" applyBorder="1"/>
    <xf numFmtId="0" fontId="14" fillId="27" borderId="72" xfId="0" applyFont="1" applyFill="1" applyBorder="1"/>
    <xf numFmtId="0" fontId="14" fillId="27" borderId="18" xfId="0" applyFont="1" applyFill="1" applyBorder="1"/>
    <xf numFmtId="0" fontId="17" fillId="27" borderId="75" xfId="0" applyFont="1" applyFill="1" applyBorder="1"/>
    <xf numFmtId="0" fontId="17" fillId="27" borderId="19" xfId="0" applyFont="1" applyFill="1" applyBorder="1"/>
    <xf numFmtId="0" fontId="14" fillId="28" borderId="59" xfId="0" applyFont="1" applyFill="1" applyBorder="1"/>
    <xf numFmtId="0" fontId="14" fillId="28" borderId="60" xfId="0" applyFont="1" applyFill="1" applyBorder="1"/>
    <xf numFmtId="0" fontId="14" fillId="28" borderId="72" xfId="0" applyFont="1" applyFill="1" applyBorder="1"/>
    <xf numFmtId="0" fontId="14" fillId="28" borderId="18" xfId="0" applyFont="1" applyFill="1" applyBorder="1"/>
    <xf numFmtId="0" fontId="17" fillId="28" borderId="72" xfId="0" applyFont="1" applyFill="1" applyBorder="1"/>
    <xf numFmtId="0" fontId="17" fillId="28" borderId="18" xfId="0" applyFont="1" applyFill="1" applyBorder="1"/>
    <xf numFmtId="0" fontId="14" fillId="18" borderId="72" xfId="0" applyFont="1" applyFill="1" applyBorder="1"/>
    <xf numFmtId="0" fontId="14" fillId="18" borderId="73" xfId="0" applyFont="1" applyFill="1" applyBorder="1"/>
    <xf numFmtId="0" fontId="17" fillId="0" borderId="0" xfId="0" applyFont="1"/>
    <xf numFmtId="0" fontId="17" fillId="28" borderId="75" xfId="0" applyFont="1" applyFill="1" applyBorder="1"/>
    <xf numFmtId="0" fontId="17" fillId="28" borderId="19" xfId="0" applyFont="1" applyFill="1" applyBorder="1"/>
    <xf numFmtId="0" fontId="14" fillId="18" borderId="75" xfId="0" applyFont="1" applyFill="1" applyBorder="1"/>
    <xf numFmtId="0" fontId="14" fillId="18" borderId="76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6" xfId="0" applyBorder="1" applyAlignment="1">
      <alignment horizontal="right" vertical="center"/>
    </xf>
    <xf numFmtId="0" fontId="0" fillId="0" borderId="53" xfId="0" applyBorder="1" applyAlignment="1">
      <alignment horizontal="center" wrapText="1"/>
    </xf>
    <xf numFmtId="0" fontId="0" fillId="0" borderId="54" xfId="0" applyBorder="1" applyAlignment="1">
      <alignment horizontal="center" wrapText="1"/>
    </xf>
    <xf numFmtId="0" fontId="0" fillId="0" borderId="38" xfId="0" applyBorder="1" applyAlignment="1">
      <alignment horizontal="right"/>
    </xf>
    <xf numFmtId="0" fontId="0" fillId="0" borderId="2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/>
    </xf>
    <xf numFmtId="0" fontId="24" fillId="35" borderId="95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3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66FF66"/>
      <color rgb="FFF1EFE7"/>
      <color rgb="FFFEFFEB"/>
      <color rgb="FFFFE7FA"/>
      <color rgb="FFFFDDFF"/>
      <color rgb="FFEEECE2"/>
      <color rgb="FFFEEFE2"/>
      <color rgb="FFF2F6EA"/>
      <color rgb="FFF8EDEC"/>
      <color rgb="FFE0EB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O42"/>
  <sheetViews>
    <sheetView workbookViewId="0">
      <selection activeCell="J6" sqref="J6"/>
    </sheetView>
  </sheetViews>
  <sheetFormatPr defaultRowHeight="14.5" x14ac:dyDescent="0.35"/>
  <cols>
    <col min="1" max="1" width="34" bestFit="1" customWidth="1"/>
    <col min="2" max="2" width="9.1796875" bestFit="1" customWidth="1"/>
    <col min="3" max="3" width="13.26953125" bestFit="1" customWidth="1"/>
    <col min="4" max="4" width="34.26953125" bestFit="1" customWidth="1"/>
    <col min="5" max="5" width="1.26953125" bestFit="1" customWidth="1"/>
    <col min="6" max="6" width="16.26953125" bestFit="1" customWidth="1"/>
    <col min="7" max="7" width="13.54296875" bestFit="1" customWidth="1"/>
    <col min="10" max="10" width="30" bestFit="1" customWidth="1"/>
    <col min="11" max="11" width="16" bestFit="1" customWidth="1"/>
    <col min="12" max="12" width="17.26953125" bestFit="1" customWidth="1"/>
    <col min="13" max="13" width="17" bestFit="1" customWidth="1"/>
    <col min="14" max="14" width="19.1796875" bestFit="1" customWidth="1"/>
    <col min="15" max="15" width="18.26953125" bestFit="1" customWidth="1"/>
  </cols>
  <sheetData>
    <row r="1" spans="1:15" x14ac:dyDescent="0.35">
      <c r="A1" s="324" t="s">
        <v>0</v>
      </c>
      <c r="B1" s="325"/>
      <c r="C1" s="325"/>
      <c r="D1" s="325"/>
      <c r="E1" s="325"/>
      <c r="F1" s="325"/>
      <c r="G1" s="326"/>
      <c r="H1" s="2"/>
      <c r="I1" s="2"/>
      <c r="J1" s="2"/>
      <c r="K1" s="2"/>
      <c r="L1" s="2"/>
      <c r="M1" s="2"/>
      <c r="N1" s="2"/>
      <c r="O1" s="2"/>
    </row>
    <row r="2" spans="1:15" x14ac:dyDescent="0.35">
      <c r="A2" s="327" t="s">
        <v>1</v>
      </c>
      <c r="B2" s="328"/>
      <c r="C2" s="329"/>
      <c r="D2" s="330" t="s">
        <v>2</v>
      </c>
      <c r="E2" s="331"/>
      <c r="F2" s="325" t="s">
        <v>3</v>
      </c>
      <c r="G2" s="326"/>
    </row>
    <row r="3" spans="1:15" x14ac:dyDescent="0.35">
      <c r="A3" s="115" t="s">
        <v>4</v>
      </c>
      <c r="B3" s="332" t="s">
        <v>3</v>
      </c>
      <c r="C3" s="333"/>
      <c r="D3" s="116" t="s">
        <v>5</v>
      </c>
      <c r="E3" s="117" t="s">
        <v>3</v>
      </c>
      <c r="F3" s="118" t="s">
        <v>6</v>
      </c>
      <c r="G3" s="119" t="s">
        <v>7</v>
      </c>
    </row>
    <row r="4" spans="1:15" x14ac:dyDescent="0.35">
      <c r="A4" s="120" t="s">
        <v>8</v>
      </c>
      <c r="B4" s="321" t="s">
        <v>9</v>
      </c>
      <c r="C4" s="322"/>
      <c r="D4" s="321" t="s">
        <v>10</v>
      </c>
      <c r="E4" s="322"/>
      <c r="F4" s="321" t="s">
        <v>11</v>
      </c>
      <c r="G4" s="323"/>
    </row>
    <row r="5" spans="1:15" x14ac:dyDescent="0.35">
      <c r="A5" s="121" t="s">
        <v>3</v>
      </c>
      <c r="B5" s="334" t="s">
        <v>3</v>
      </c>
      <c r="C5" s="335"/>
      <c r="D5" s="334" t="s">
        <v>3</v>
      </c>
      <c r="E5" s="335"/>
      <c r="F5" s="334" t="s">
        <v>3</v>
      </c>
      <c r="G5" s="336"/>
    </row>
    <row r="6" spans="1:15" x14ac:dyDescent="0.35">
      <c r="A6" s="122" t="s">
        <v>3</v>
      </c>
      <c r="B6" s="337" t="s">
        <v>3</v>
      </c>
      <c r="C6" s="338"/>
      <c r="D6" s="337" t="s">
        <v>3</v>
      </c>
      <c r="E6" s="338"/>
      <c r="F6" s="337" t="s">
        <v>3</v>
      </c>
      <c r="G6" s="339"/>
    </row>
    <row r="7" spans="1:15" x14ac:dyDescent="0.35">
      <c r="A7" s="121" t="s">
        <v>3</v>
      </c>
      <c r="B7" s="334" t="s">
        <v>3</v>
      </c>
      <c r="C7" s="335"/>
      <c r="D7" s="334" t="s">
        <v>3</v>
      </c>
      <c r="E7" s="335"/>
      <c r="F7" s="334" t="s">
        <v>3</v>
      </c>
      <c r="G7" s="336"/>
    </row>
    <row r="8" spans="1:15" x14ac:dyDescent="0.35">
      <c r="A8" s="122" t="s">
        <v>3</v>
      </c>
      <c r="B8" s="337" t="s">
        <v>3</v>
      </c>
      <c r="C8" s="338"/>
      <c r="D8" s="337" t="s">
        <v>3</v>
      </c>
      <c r="E8" s="338"/>
      <c r="F8" s="337" t="s">
        <v>3</v>
      </c>
      <c r="G8" s="339"/>
    </row>
    <row r="9" spans="1:15" x14ac:dyDescent="0.35">
      <c r="A9" s="123" t="s">
        <v>3</v>
      </c>
      <c r="B9" s="342" t="s">
        <v>3</v>
      </c>
      <c r="C9" s="343"/>
      <c r="D9" s="342" t="s">
        <v>3</v>
      </c>
      <c r="E9" s="343"/>
      <c r="F9" s="342" t="s">
        <v>3</v>
      </c>
      <c r="G9" s="344"/>
    </row>
    <row r="10" spans="1:15" x14ac:dyDescent="0.35">
      <c r="A10" s="345" t="s">
        <v>12</v>
      </c>
      <c r="B10" s="346"/>
      <c r="C10" s="347"/>
      <c r="D10" s="348" t="s">
        <v>13</v>
      </c>
      <c r="E10" s="348"/>
      <c r="F10" s="348"/>
      <c r="G10" s="349"/>
    </row>
    <row r="11" spans="1:15" x14ac:dyDescent="0.35">
      <c r="A11" s="124" t="s">
        <v>14</v>
      </c>
      <c r="B11" s="125" t="s">
        <v>15</v>
      </c>
      <c r="C11" s="126" t="s">
        <v>16</v>
      </c>
      <c r="D11" s="350" t="s">
        <v>14</v>
      </c>
      <c r="E11" s="351"/>
      <c r="F11" s="127" t="s">
        <v>15</v>
      </c>
      <c r="G11" s="128" t="s">
        <v>16</v>
      </c>
    </row>
    <row r="12" spans="1:15" ht="16.5" x14ac:dyDescent="0.45">
      <c r="A12" s="129" t="s">
        <v>17</v>
      </c>
      <c r="B12" s="130" t="s">
        <v>3</v>
      </c>
      <c r="C12" s="131" t="s">
        <v>18</v>
      </c>
      <c r="D12" s="352" t="s">
        <v>19</v>
      </c>
      <c r="E12" s="353"/>
      <c r="F12" s="132" t="s">
        <v>3</v>
      </c>
      <c r="G12" s="133" t="s">
        <v>3</v>
      </c>
    </row>
    <row r="13" spans="1:15" ht="16.5" x14ac:dyDescent="0.45">
      <c r="A13" s="129" t="s">
        <v>20</v>
      </c>
      <c r="B13" s="130" t="s">
        <v>3</v>
      </c>
      <c r="C13" s="131" t="s">
        <v>18</v>
      </c>
      <c r="D13" s="354" t="s">
        <v>21</v>
      </c>
      <c r="E13" s="355"/>
      <c r="F13" s="134">
        <v>0.5</v>
      </c>
      <c r="G13" s="135" t="s">
        <v>3</v>
      </c>
    </row>
    <row r="14" spans="1:15" x14ac:dyDescent="0.35">
      <c r="A14" s="136" t="s">
        <v>22</v>
      </c>
      <c r="B14" s="137" t="s">
        <v>3</v>
      </c>
      <c r="C14" s="138" t="s">
        <v>3</v>
      </c>
      <c r="D14" s="356" t="s">
        <v>23</v>
      </c>
      <c r="E14" s="356"/>
      <c r="F14" s="356"/>
      <c r="G14" s="357"/>
      <c r="J14" s="114"/>
    </row>
    <row r="15" spans="1:15" x14ac:dyDescent="0.35">
      <c r="A15" s="358" t="s">
        <v>24</v>
      </c>
      <c r="B15" s="359"/>
      <c r="C15" s="360"/>
      <c r="D15" s="361" t="s">
        <v>14</v>
      </c>
      <c r="E15" s="362"/>
      <c r="F15" s="139" t="s">
        <v>15</v>
      </c>
      <c r="G15" s="140" t="s">
        <v>16</v>
      </c>
      <c r="J15" s="114"/>
    </row>
    <row r="16" spans="1:15" ht="16.5" x14ac:dyDescent="0.45">
      <c r="A16" s="141" t="s">
        <v>14</v>
      </c>
      <c r="B16" s="142" t="s">
        <v>15</v>
      </c>
      <c r="C16" s="143" t="s">
        <v>16</v>
      </c>
      <c r="D16" s="340" t="s">
        <v>25</v>
      </c>
      <c r="E16" s="341"/>
      <c r="F16" s="144" t="s">
        <v>3</v>
      </c>
      <c r="G16" s="145" t="s">
        <v>26</v>
      </c>
    </row>
    <row r="17" spans="1:7" x14ac:dyDescent="0.35">
      <c r="A17" s="146" t="s">
        <v>27</v>
      </c>
      <c r="B17" s="147" t="s">
        <v>3</v>
      </c>
      <c r="C17" s="148" t="s">
        <v>3</v>
      </c>
      <c r="D17" s="365" t="s">
        <v>28</v>
      </c>
      <c r="E17" s="366"/>
      <c r="F17" s="149">
        <v>0.2</v>
      </c>
      <c r="G17" s="150" t="s">
        <v>3</v>
      </c>
    </row>
    <row r="18" spans="1:7" x14ac:dyDescent="0.35">
      <c r="A18" s="146" t="s">
        <v>29</v>
      </c>
      <c r="B18" s="147" t="s">
        <v>3</v>
      </c>
      <c r="C18" s="151" t="s">
        <v>3</v>
      </c>
      <c r="D18" s="367" t="s">
        <v>30</v>
      </c>
      <c r="E18" s="367"/>
      <c r="F18" s="367"/>
      <c r="G18" s="368"/>
    </row>
    <row r="19" spans="1:7" ht="16.5" x14ac:dyDescent="0.35">
      <c r="A19" s="146" t="s">
        <v>31</v>
      </c>
      <c r="B19" s="152">
        <v>4</v>
      </c>
      <c r="C19" s="153" t="s">
        <v>32</v>
      </c>
      <c r="D19" s="369" t="s">
        <v>14</v>
      </c>
      <c r="E19" s="370"/>
      <c r="F19" s="154" t="s">
        <v>15</v>
      </c>
      <c r="G19" s="155" t="s">
        <v>16</v>
      </c>
    </row>
    <row r="20" spans="1:7" x14ac:dyDescent="0.35">
      <c r="A20" s="156" t="s">
        <v>33</v>
      </c>
      <c r="B20" s="157" t="s">
        <v>3</v>
      </c>
      <c r="C20" s="158" t="s">
        <v>3</v>
      </c>
      <c r="D20" s="371" t="s">
        <v>34</v>
      </c>
      <c r="E20" s="372"/>
      <c r="F20" s="159" t="s">
        <v>3</v>
      </c>
      <c r="G20" s="160" t="s">
        <v>35</v>
      </c>
    </row>
    <row r="21" spans="1:7" ht="16.5" x14ac:dyDescent="0.35">
      <c r="A21" s="156" t="s">
        <v>36</v>
      </c>
      <c r="B21" s="157" t="s">
        <v>3</v>
      </c>
      <c r="C21" s="161" t="s">
        <v>37</v>
      </c>
      <c r="D21" s="371" t="s">
        <v>38</v>
      </c>
      <c r="E21" s="372"/>
      <c r="F21" s="159" t="s">
        <v>3</v>
      </c>
      <c r="G21" s="160" t="s">
        <v>39</v>
      </c>
    </row>
    <row r="22" spans="1:7" ht="16.5" x14ac:dyDescent="0.45">
      <c r="A22" s="162" t="s">
        <v>40</v>
      </c>
      <c r="B22" s="163" t="s">
        <v>3</v>
      </c>
      <c r="C22" s="164" t="s">
        <v>3</v>
      </c>
      <c r="D22" s="371" t="s">
        <v>41</v>
      </c>
      <c r="E22" s="372"/>
      <c r="F22" s="159" t="s">
        <v>3</v>
      </c>
      <c r="G22" s="160" t="s">
        <v>42</v>
      </c>
    </row>
    <row r="23" spans="1:7" ht="16.5" x14ac:dyDescent="0.45">
      <c r="A23" s="373" t="s">
        <v>43</v>
      </c>
      <c r="B23" s="374"/>
      <c r="C23" s="375"/>
      <c r="D23" s="376" t="s">
        <v>44</v>
      </c>
      <c r="E23" s="377"/>
      <c r="F23" s="165" t="s">
        <v>3</v>
      </c>
      <c r="G23" s="166" t="s">
        <v>42</v>
      </c>
    </row>
    <row r="24" spans="1:7" x14ac:dyDescent="0.35">
      <c r="A24" s="167" t="s">
        <v>14</v>
      </c>
      <c r="B24" s="168" t="s">
        <v>15</v>
      </c>
      <c r="C24" s="169" t="s">
        <v>16</v>
      </c>
      <c r="D24" s="378" t="s">
        <v>45</v>
      </c>
      <c r="E24" s="378"/>
      <c r="F24" s="378"/>
      <c r="G24" s="379"/>
    </row>
    <row r="25" spans="1:7" x14ac:dyDescent="0.35">
      <c r="A25" s="170" t="s">
        <v>46</v>
      </c>
      <c r="B25" s="171" t="s">
        <v>3</v>
      </c>
      <c r="C25" s="172" t="s">
        <v>3</v>
      </c>
      <c r="D25" s="380" t="s">
        <v>14</v>
      </c>
      <c r="E25" s="381"/>
      <c r="F25" s="173" t="s">
        <v>15</v>
      </c>
      <c r="G25" s="174" t="s">
        <v>16</v>
      </c>
    </row>
    <row r="26" spans="1:7" ht="16.5" x14ac:dyDescent="0.45">
      <c r="A26" s="170" t="s">
        <v>47</v>
      </c>
      <c r="B26" s="171" t="s">
        <v>3</v>
      </c>
      <c r="C26" s="172" t="s">
        <v>3</v>
      </c>
      <c r="D26" s="363" t="s">
        <v>48</v>
      </c>
      <c r="E26" s="364"/>
      <c r="F26" s="175" t="s">
        <v>3</v>
      </c>
      <c r="G26" s="176" t="s">
        <v>3</v>
      </c>
    </row>
    <row r="27" spans="1:7" ht="16.5" x14ac:dyDescent="0.45">
      <c r="A27" s="170" t="s">
        <v>49</v>
      </c>
      <c r="B27" s="171" t="s">
        <v>3</v>
      </c>
      <c r="C27" s="177" t="s">
        <v>50</v>
      </c>
      <c r="D27" s="363" t="s">
        <v>51</v>
      </c>
      <c r="E27" s="364"/>
      <c r="F27" s="175" t="s">
        <v>3</v>
      </c>
      <c r="G27" s="178" t="s">
        <v>52</v>
      </c>
    </row>
    <row r="28" spans="1:7" ht="16.5" x14ac:dyDescent="0.45">
      <c r="A28" s="170" t="s">
        <v>53</v>
      </c>
      <c r="B28" s="171" t="s">
        <v>3</v>
      </c>
      <c r="C28" s="177" t="s">
        <v>50</v>
      </c>
      <c r="D28" s="363" t="s">
        <v>54</v>
      </c>
      <c r="E28" s="364"/>
      <c r="F28" s="175" t="s">
        <v>3</v>
      </c>
      <c r="G28" s="179" t="s">
        <v>55</v>
      </c>
    </row>
    <row r="29" spans="1:7" ht="16.5" x14ac:dyDescent="0.45">
      <c r="A29" s="170" t="s">
        <v>56</v>
      </c>
      <c r="B29" s="171" t="s">
        <v>3</v>
      </c>
      <c r="C29" s="177" t="s">
        <v>18</v>
      </c>
      <c r="D29" s="382" t="s">
        <v>57</v>
      </c>
      <c r="E29" s="383"/>
      <c r="F29" s="180" t="s">
        <v>3</v>
      </c>
      <c r="G29" s="181" t="s">
        <v>58</v>
      </c>
    </row>
    <row r="30" spans="1:7" ht="16.5" x14ac:dyDescent="0.45">
      <c r="A30" s="170" t="s">
        <v>59</v>
      </c>
      <c r="B30" s="171" t="s">
        <v>3</v>
      </c>
      <c r="C30" s="177" t="s">
        <v>18</v>
      </c>
      <c r="D30" s="384" t="s">
        <v>60</v>
      </c>
      <c r="E30" s="384"/>
      <c r="F30" s="384"/>
      <c r="G30" s="385"/>
    </row>
    <row r="31" spans="1:7" x14ac:dyDescent="0.35">
      <c r="A31" s="170" t="s">
        <v>61</v>
      </c>
      <c r="B31" s="171" t="s">
        <v>3</v>
      </c>
      <c r="C31" s="177" t="s">
        <v>18</v>
      </c>
      <c r="D31" s="386" t="s">
        <v>14</v>
      </c>
      <c r="E31" s="387"/>
      <c r="F31" s="182" t="s">
        <v>15</v>
      </c>
      <c r="G31" s="183" t="s">
        <v>16</v>
      </c>
    </row>
    <row r="32" spans="1:7" ht="16.5" x14ac:dyDescent="0.45">
      <c r="A32" s="170" t="s">
        <v>62</v>
      </c>
      <c r="B32" s="171" t="s">
        <v>3</v>
      </c>
      <c r="C32" s="177" t="s">
        <v>63</v>
      </c>
      <c r="D32" s="184" t="s">
        <v>64</v>
      </c>
      <c r="E32" s="184" t="s">
        <v>3</v>
      </c>
      <c r="F32" s="185" t="s">
        <v>3</v>
      </c>
      <c r="G32" s="186" t="s">
        <v>65</v>
      </c>
    </row>
    <row r="33" spans="1:7" ht="17.5" x14ac:dyDescent="0.45">
      <c r="A33" s="187" t="s">
        <v>66</v>
      </c>
      <c r="B33" s="188" t="s">
        <v>3</v>
      </c>
      <c r="C33" s="189" t="s">
        <v>67</v>
      </c>
      <c r="D33" s="184" t="s">
        <v>68</v>
      </c>
      <c r="E33" s="184" t="s">
        <v>3</v>
      </c>
      <c r="F33" s="185" t="s">
        <v>3</v>
      </c>
      <c r="G33" s="186" t="s">
        <v>65</v>
      </c>
    </row>
    <row r="34" spans="1:7" ht="14.5" customHeight="1" x14ac:dyDescent="0.45">
      <c r="A34" s="327" t="s">
        <v>69</v>
      </c>
      <c r="B34" s="328"/>
      <c r="C34" s="329"/>
      <c r="D34" s="388" t="s">
        <v>70</v>
      </c>
      <c r="E34" s="389"/>
      <c r="F34" s="185" t="s">
        <v>3</v>
      </c>
      <c r="G34" s="186" t="s">
        <v>71</v>
      </c>
    </row>
    <row r="35" spans="1:7" ht="16.5" x14ac:dyDescent="0.45">
      <c r="A35" s="190" t="s">
        <v>72</v>
      </c>
      <c r="B35" s="390" t="s">
        <v>73</v>
      </c>
      <c r="C35" s="391"/>
      <c r="D35" s="388" t="s">
        <v>74</v>
      </c>
      <c r="E35" s="389"/>
      <c r="F35" s="185" t="s">
        <v>3</v>
      </c>
      <c r="G35" s="186" t="s">
        <v>75</v>
      </c>
    </row>
    <row r="36" spans="1:7" ht="16.5" x14ac:dyDescent="0.45">
      <c r="A36" s="190" t="s">
        <v>76</v>
      </c>
      <c r="B36" s="390" t="s">
        <v>77</v>
      </c>
      <c r="C36" s="391"/>
      <c r="D36" s="388" t="s">
        <v>78</v>
      </c>
      <c r="E36" s="389"/>
      <c r="F36" s="185" t="s">
        <v>3</v>
      </c>
      <c r="G36" s="186" t="s">
        <v>55</v>
      </c>
    </row>
    <row r="37" spans="1:7" ht="16.5" x14ac:dyDescent="0.45">
      <c r="A37" s="190" t="s">
        <v>79</v>
      </c>
      <c r="B37" s="390" t="s">
        <v>80</v>
      </c>
      <c r="C37" s="391"/>
      <c r="D37" s="388" t="s">
        <v>81</v>
      </c>
      <c r="E37" s="389"/>
      <c r="F37" s="185" t="s">
        <v>3</v>
      </c>
      <c r="G37" s="186" t="s">
        <v>55</v>
      </c>
    </row>
    <row r="38" spans="1:7" ht="16.5" x14ac:dyDescent="0.45">
      <c r="A38" s="190" t="s">
        <v>82</v>
      </c>
      <c r="B38" s="390" t="s">
        <v>83</v>
      </c>
      <c r="C38" s="391"/>
      <c r="D38" s="388" t="s">
        <v>84</v>
      </c>
      <c r="E38" s="389"/>
      <c r="F38" s="185" t="s">
        <v>3</v>
      </c>
      <c r="G38" s="186" t="s">
        <v>55</v>
      </c>
    </row>
    <row r="39" spans="1:7" ht="16.5" x14ac:dyDescent="0.45">
      <c r="A39" s="190" t="s">
        <v>85</v>
      </c>
      <c r="B39" s="390" t="s">
        <v>86</v>
      </c>
      <c r="C39" s="391"/>
      <c r="D39" s="393" t="s">
        <v>87</v>
      </c>
      <c r="E39" s="394"/>
      <c r="F39" s="191" t="s">
        <v>3</v>
      </c>
      <c r="G39" s="192" t="s">
        <v>3</v>
      </c>
    </row>
    <row r="40" spans="1:7" x14ac:dyDescent="0.35">
      <c r="A40" s="193" t="s">
        <v>88</v>
      </c>
      <c r="B40" s="395">
        <v>16</v>
      </c>
      <c r="C40" s="396"/>
      <c r="D40" s="194" t="s">
        <v>89</v>
      </c>
      <c r="E40" s="325" t="s">
        <v>3</v>
      </c>
      <c r="F40" s="325"/>
      <c r="G40" s="326"/>
    </row>
    <row r="41" spans="1:7" x14ac:dyDescent="0.35">
      <c r="A41" s="195" t="s">
        <v>90</v>
      </c>
      <c r="B41" s="196" t="s">
        <v>91</v>
      </c>
      <c r="C41" s="197" t="s">
        <v>92</v>
      </c>
      <c r="D41" s="392" t="s">
        <v>3</v>
      </c>
      <c r="E41" s="392"/>
      <c r="F41" s="392"/>
      <c r="G41" s="392"/>
    </row>
    <row r="42" spans="1:7" x14ac:dyDescent="0.35">
      <c r="A42" s="213"/>
      <c r="B42" s="213"/>
      <c r="C42" s="213"/>
      <c r="D42" s="213"/>
      <c r="E42" s="213"/>
      <c r="F42" s="213"/>
      <c r="G42" s="213"/>
    </row>
  </sheetData>
  <mergeCells count="63">
    <mergeCell ref="D41:G41"/>
    <mergeCell ref="B38:C38"/>
    <mergeCell ref="D38:E38"/>
    <mergeCell ref="B39:C39"/>
    <mergeCell ref="D39:E39"/>
    <mergeCell ref="B40:C40"/>
    <mergeCell ref="E40:G40"/>
    <mergeCell ref="B35:C35"/>
    <mergeCell ref="D35:E35"/>
    <mergeCell ref="B36:C36"/>
    <mergeCell ref="D36:E36"/>
    <mergeCell ref="B37:C37"/>
    <mergeCell ref="D37:E37"/>
    <mergeCell ref="D28:E28"/>
    <mergeCell ref="D29:E29"/>
    <mergeCell ref="D30:G30"/>
    <mergeCell ref="D31:E31"/>
    <mergeCell ref="A34:C34"/>
    <mergeCell ref="D34:E34"/>
    <mergeCell ref="A23:C23"/>
    <mergeCell ref="D23:E23"/>
    <mergeCell ref="D24:G24"/>
    <mergeCell ref="D25:E25"/>
    <mergeCell ref="D26:E26"/>
    <mergeCell ref="D27:E27"/>
    <mergeCell ref="D17:E17"/>
    <mergeCell ref="D18:G18"/>
    <mergeCell ref="D19:E19"/>
    <mergeCell ref="D20:E20"/>
    <mergeCell ref="D21:E21"/>
    <mergeCell ref="D22:E22"/>
    <mergeCell ref="D16:E16"/>
    <mergeCell ref="B9:C9"/>
    <mergeCell ref="D9:E9"/>
    <mergeCell ref="F9:G9"/>
    <mergeCell ref="A10:C10"/>
    <mergeCell ref="D10:G10"/>
    <mergeCell ref="D11:E11"/>
    <mergeCell ref="D12:E12"/>
    <mergeCell ref="D13:E13"/>
    <mergeCell ref="D14:G14"/>
    <mergeCell ref="A15:C15"/>
    <mergeCell ref="D15:E15"/>
    <mergeCell ref="B7:C7"/>
    <mergeCell ref="D7:E7"/>
    <mergeCell ref="F7:G7"/>
    <mergeCell ref="B8:C8"/>
    <mergeCell ref="D8:E8"/>
    <mergeCell ref="F8:G8"/>
    <mergeCell ref="B5:C5"/>
    <mergeCell ref="D5:E5"/>
    <mergeCell ref="F5:G5"/>
    <mergeCell ref="B6:C6"/>
    <mergeCell ref="D6:E6"/>
    <mergeCell ref="F6:G6"/>
    <mergeCell ref="B4:C4"/>
    <mergeCell ref="D4:E4"/>
    <mergeCell ref="F4:G4"/>
    <mergeCell ref="A1:G1"/>
    <mergeCell ref="A2:C2"/>
    <mergeCell ref="D2:E2"/>
    <mergeCell ref="F2:G2"/>
    <mergeCell ref="B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X63"/>
  <sheetViews>
    <sheetView tabSelected="1" topLeftCell="A36" zoomScale="79" zoomScaleNormal="100" zoomScaleSheetLayoutView="85" workbookViewId="0">
      <selection activeCell="G43" sqref="G43"/>
    </sheetView>
  </sheetViews>
  <sheetFormatPr defaultRowHeight="19.5" customHeight="1" x14ac:dyDescent="0.35"/>
  <cols>
    <col min="1" max="1" width="3.54296875" customWidth="1"/>
    <col min="2" max="2" width="34.7265625" customWidth="1"/>
    <col min="3" max="3" width="18.81640625" customWidth="1"/>
    <col min="4" max="4" width="17.7265625" customWidth="1"/>
    <col min="5" max="5" width="23.26953125" customWidth="1"/>
    <col min="6" max="6" width="21.26953125" customWidth="1"/>
    <col min="7" max="7" width="17.7265625" customWidth="1"/>
    <col min="8" max="8" width="23.81640625" customWidth="1"/>
    <col min="9" max="9" width="36.54296875" bestFit="1" customWidth="1"/>
    <col min="10" max="10" width="56.26953125" customWidth="1"/>
    <col min="11" max="11" width="28.54296875" customWidth="1"/>
    <col min="13" max="13" width="44.1796875" customWidth="1"/>
    <col min="18" max="18" width="42.7265625" customWidth="1"/>
    <col min="19" max="19" width="16" bestFit="1" customWidth="1"/>
    <col min="20" max="20" width="17.26953125" bestFit="1" customWidth="1"/>
    <col min="21" max="21" width="17" bestFit="1" customWidth="1"/>
    <col min="22" max="22" width="19.1796875" bestFit="1" customWidth="1"/>
    <col min="23" max="23" width="18.26953125" bestFit="1" customWidth="1"/>
  </cols>
  <sheetData>
    <row r="1" spans="1:24" ht="19.5" customHeight="1" x14ac:dyDescent="0.35">
      <c r="B1" s="295" t="s">
        <v>0</v>
      </c>
      <c r="C1" s="296"/>
      <c r="D1" s="296"/>
      <c r="E1" s="296"/>
      <c r="F1" s="296"/>
      <c r="G1" s="296"/>
      <c r="H1" s="297"/>
    </row>
    <row r="2" spans="1:24" s="2" customFormat="1" ht="19.5" customHeight="1" thickTop="1" thickBot="1" x14ac:dyDescent="0.4">
      <c r="B2" s="227" t="s">
        <v>1</v>
      </c>
      <c r="C2" s="228"/>
      <c r="D2" s="229"/>
      <c r="E2" s="230" t="s">
        <v>2</v>
      </c>
      <c r="F2" s="231"/>
      <c r="G2" s="232"/>
      <c r="H2" s="233"/>
      <c r="M2"/>
      <c r="N2"/>
      <c r="O2"/>
      <c r="P2"/>
      <c r="Q2"/>
      <c r="R2"/>
      <c r="S2"/>
      <c r="T2"/>
      <c r="U2"/>
      <c r="V2"/>
      <c r="W2"/>
      <c r="X2"/>
    </row>
    <row r="3" spans="1:24" ht="19.5" customHeight="1" thickTop="1" thickBot="1" x14ac:dyDescent="0.4">
      <c r="B3" s="89" t="s">
        <v>4</v>
      </c>
      <c r="C3" s="298">
        <v>20</v>
      </c>
      <c r="D3" s="299"/>
      <c r="E3" s="90" t="s">
        <v>5</v>
      </c>
      <c r="F3" s="106">
        <v>1</v>
      </c>
      <c r="G3" s="90" t="s">
        <v>6</v>
      </c>
      <c r="H3" s="107" t="s">
        <v>7</v>
      </c>
    </row>
    <row r="4" spans="1:24" ht="19.5" customHeight="1" thickTop="1" x14ac:dyDescent="0.35">
      <c r="A4" s="249" t="s">
        <v>93</v>
      </c>
      <c r="B4" s="222" t="s">
        <v>8</v>
      </c>
      <c r="C4" s="252" t="s">
        <v>9</v>
      </c>
      <c r="D4" s="252"/>
      <c r="E4" s="252" t="s">
        <v>10</v>
      </c>
      <c r="F4" s="252"/>
      <c r="G4" s="252" t="s">
        <v>11</v>
      </c>
      <c r="H4" s="265"/>
    </row>
    <row r="5" spans="1:24" ht="19.5" customHeight="1" x14ac:dyDescent="0.35">
      <c r="A5" s="250"/>
      <c r="B5" s="219" t="s">
        <v>94</v>
      </c>
      <c r="C5" s="241" t="s">
        <v>95</v>
      </c>
      <c r="D5" s="241"/>
      <c r="E5" s="241" t="s">
        <v>96</v>
      </c>
      <c r="F5" s="241"/>
      <c r="G5" s="241"/>
      <c r="H5" s="279"/>
    </row>
    <row r="6" spans="1:24" ht="19.5" customHeight="1" x14ac:dyDescent="0.35">
      <c r="A6" s="250"/>
      <c r="B6" s="220" t="s">
        <v>97</v>
      </c>
      <c r="C6" s="242" t="s">
        <v>98</v>
      </c>
      <c r="D6" s="242"/>
      <c r="E6" s="242" t="s">
        <v>99</v>
      </c>
      <c r="F6" s="242"/>
      <c r="G6" s="242"/>
      <c r="H6" s="280"/>
    </row>
    <row r="7" spans="1:24" ht="19.5" customHeight="1" x14ac:dyDescent="0.35">
      <c r="A7" s="250"/>
      <c r="B7" s="219" t="s">
        <v>100</v>
      </c>
      <c r="C7" s="241" t="s">
        <v>101</v>
      </c>
      <c r="D7" s="241"/>
      <c r="E7" s="241" t="s">
        <v>102</v>
      </c>
      <c r="F7" s="241"/>
      <c r="G7" s="281"/>
      <c r="H7" s="282"/>
      <c r="J7" t="s">
        <v>103</v>
      </c>
    </row>
    <row r="8" spans="1:24" ht="19.5" customHeight="1" x14ac:dyDescent="0.35">
      <c r="A8" s="250"/>
      <c r="B8" s="220" t="s">
        <v>104</v>
      </c>
      <c r="C8" s="242" t="s">
        <v>105</v>
      </c>
      <c r="D8" s="242"/>
      <c r="E8" s="242" t="s">
        <v>106</v>
      </c>
      <c r="F8" s="242"/>
      <c r="G8" s="242"/>
      <c r="H8" s="280"/>
      <c r="J8" t="s">
        <v>107</v>
      </c>
    </row>
    <row r="9" spans="1:24" ht="19.5" customHeight="1" thickBot="1" x14ac:dyDescent="0.4">
      <c r="A9" s="251"/>
      <c r="B9" s="221" t="s">
        <v>108</v>
      </c>
      <c r="C9" s="243" t="s">
        <v>109</v>
      </c>
      <c r="D9" s="243"/>
      <c r="E9" s="243" t="s">
        <v>110</v>
      </c>
      <c r="F9" s="243"/>
      <c r="G9" s="243"/>
      <c r="H9" s="283"/>
      <c r="J9" t="s">
        <v>111</v>
      </c>
    </row>
    <row r="10" spans="1:24" ht="19.5" customHeight="1" thickTop="1" x14ac:dyDescent="0.35">
      <c r="A10" s="246" t="s">
        <v>112</v>
      </c>
      <c r="B10" s="258" t="s">
        <v>12</v>
      </c>
      <c r="C10" s="259"/>
      <c r="D10" s="260"/>
      <c r="E10" s="307" t="s">
        <v>13</v>
      </c>
      <c r="F10" s="308"/>
      <c r="G10" s="308"/>
      <c r="H10" s="309"/>
      <c r="J10" t="s">
        <v>113</v>
      </c>
    </row>
    <row r="11" spans="1:24" ht="19.5" customHeight="1" x14ac:dyDescent="0.35">
      <c r="A11" s="247"/>
      <c r="B11" s="8" t="s">
        <v>14</v>
      </c>
      <c r="C11" s="9" t="s">
        <v>15</v>
      </c>
      <c r="D11" s="10" t="s">
        <v>16</v>
      </c>
      <c r="E11" s="310" t="s">
        <v>14</v>
      </c>
      <c r="F11" s="311"/>
      <c r="G11" s="216" t="s">
        <v>15</v>
      </c>
      <c r="H11" s="22" t="s">
        <v>16</v>
      </c>
      <c r="J11" t="s">
        <v>114</v>
      </c>
    </row>
    <row r="12" spans="1:24" ht="19.5" customHeight="1" x14ac:dyDescent="0.35">
      <c r="A12" s="247"/>
      <c r="B12" s="37" t="s">
        <v>115</v>
      </c>
      <c r="C12" s="208">
        <f>16*D63</f>
        <v>19.2</v>
      </c>
      <c r="D12" s="39" t="s">
        <v>18</v>
      </c>
      <c r="E12" s="312" t="s">
        <v>19</v>
      </c>
      <c r="F12" s="313"/>
      <c r="G12" s="97" t="s">
        <v>116</v>
      </c>
      <c r="H12" s="23"/>
      <c r="J12" t="s">
        <v>117</v>
      </c>
    </row>
    <row r="13" spans="1:24" ht="19.5" customHeight="1" thickBot="1" x14ac:dyDescent="0.4">
      <c r="A13" s="247"/>
      <c r="B13" s="37" t="s">
        <v>118</v>
      </c>
      <c r="C13" s="209">
        <f>(E63-F63)/2 + F63</f>
        <v>22.5</v>
      </c>
      <c r="D13" s="39" t="s">
        <v>18</v>
      </c>
      <c r="E13" s="316" t="s">
        <v>119</v>
      </c>
      <c r="F13" s="317"/>
      <c r="G13" s="24">
        <v>0.5</v>
      </c>
      <c r="H13" s="25"/>
      <c r="J13" t="s">
        <v>120</v>
      </c>
    </row>
    <row r="14" spans="1:24" ht="19.5" customHeight="1" thickTop="1" thickBot="1" x14ac:dyDescent="0.4">
      <c r="A14" s="247"/>
      <c r="B14" s="38" t="s">
        <v>121</v>
      </c>
      <c r="C14" s="92">
        <v>2</v>
      </c>
      <c r="D14" s="11"/>
      <c r="E14" s="300" t="s">
        <v>23</v>
      </c>
      <c r="F14" s="301"/>
      <c r="G14" s="301"/>
      <c r="H14" s="302"/>
    </row>
    <row r="15" spans="1:24" ht="19.5" customHeight="1" thickTop="1" x14ac:dyDescent="0.35">
      <c r="A15" s="247"/>
      <c r="B15" s="318" t="s">
        <v>24</v>
      </c>
      <c r="C15" s="319"/>
      <c r="D15" s="320"/>
      <c r="E15" s="303" t="s">
        <v>14</v>
      </c>
      <c r="F15" s="304"/>
      <c r="G15" s="215" t="s">
        <v>15</v>
      </c>
      <c r="H15" s="26" t="s">
        <v>16</v>
      </c>
    </row>
    <row r="16" spans="1:24" ht="19.5" customHeight="1" x14ac:dyDescent="0.35">
      <c r="A16" s="247"/>
      <c r="B16" s="12" t="s">
        <v>14</v>
      </c>
      <c r="C16" s="13" t="s">
        <v>15</v>
      </c>
      <c r="D16" s="14" t="s">
        <v>16</v>
      </c>
      <c r="E16" s="305" t="s">
        <v>122</v>
      </c>
      <c r="F16" s="306"/>
      <c r="G16" s="91">
        <v>1.78</v>
      </c>
      <c r="H16" s="48" t="s">
        <v>26</v>
      </c>
      <c r="I16" s="114" t="s">
        <v>123</v>
      </c>
    </row>
    <row r="17" spans="1:10" ht="19.5" customHeight="1" x14ac:dyDescent="0.35">
      <c r="A17" s="247"/>
      <c r="B17" s="35" t="s">
        <v>27</v>
      </c>
      <c r="C17" s="93" t="s">
        <v>124</v>
      </c>
      <c r="D17" s="112"/>
      <c r="E17" s="286" t="s">
        <v>125</v>
      </c>
      <c r="F17" s="287"/>
      <c r="G17" s="49">
        <v>0.2</v>
      </c>
      <c r="H17" s="27"/>
    </row>
    <row r="18" spans="1:10" ht="19.5" customHeight="1" x14ac:dyDescent="0.35">
      <c r="A18" s="247"/>
      <c r="B18" s="35" t="s">
        <v>29</v>
      </c>
      <c r="C18" s="93">
        <v>1</v>
      </c>
      <c r="D18" s="16"/>
      <c r="E18" s="266" t="s">
        <v>30</v>
      </c>
      <c r="F18" s="267"/>
      <c r="G18" s="267"/>
      <c r="H18" s="268"/>
      <c r="J18" t="s">
        <v>126</v>
      </c>
    </row>
    <row r="19" spans="1:10" ht="19.5" customHeight="1" x14ac:dyDescent="0.35">
      <c r="A19" s="247"/>
      <c r="B19" s="35" t="s">
        <v>127</v>
      </c>
      <c r="C19" s="15">
        <v>4</v>
      </c>
      <c r="D19" s="40" t="s">
        <v>128</v>
      </c>
      <c r="E19" s="314" t="s">
        <v>14</v>
      </c>
      <c r="F19" s="315"/>
      <c r="G19" s="217" t="s">
        <v>15</v>
      </c>
      <c r="H19" s="28" t="s">
        <v>16</v>
      </c>
      <c r="J19" t="s">
        <v>129</v>
      </c>
    </row>
    <row r="20" spans="1:10" ht="19.5" customHeight="1" x14ac:dyDescent="0.35">
      <c r="A20" s="247"/>
      <c r="B20" s="85" t="s">
        <v>130</v>
      </c>
      <c r="C20" s="94">
        <v>29</v>
      </c>
      <c r="D20" s="88"/>
      <c r="E20" s="284" t="s">
        <v>131</v>
      </c>
      <c r="F20" s="285"/>
      <c r="G20" s="98">
        <f>C54</f>
        <v>3709</v>
      </c>
      <c r="H20" s="46" t="s">
        <v>35</v>
      </c>
      <c r="I20" t="s">
        <v>132</v>
      </c>
      <c r="J20" t="s">
        <v>133</v>
      </c>
    </row>
    <row r="21" spans="1:10" ht="19.5" customHeight="1" x14ac:dyDescent="0.35">
      <c r="A21" s="247"/>
      <c r="B21" s="85" t="s">
        <v>134</v>
      </c>
      <c r="C21" s="94">
        <v>8</v>
      </c>
      <c r="D21" s="113" t="s">
        <v>37</v>
      </c>
      <c r="E21" s="290" t="s">
        <v>135</v>
      </c>
      <c r="F21" s="285"/>
      <c r="G21" s="98">
        <f>H54</f>
        <v>6</v>
      </c>
      <c r="H21" s="46" t="s">
        <v>136</v>
      </c>
      <c r="I21" t="s">
        <v>137</v>
      </c>
      <c r="J21" s="114" t="s">
        <v>138</v>
      </c>
    </row>
    <row r="22" spans="1:10" ht="19.5" customHeight="1" x14ac:dyDescent="0.35">
      <c r="A22" s="247"/>
      <c r="B22" s="36" t="s">
        <v>139</v>
      </c>
      <c r="C22" s="207">
        <v>43</v>
      </c>
      <c r="D22" s="17"/>
      <c r="E22" s="290" t="s">
        <v>140</v>
      </c>
      <c r="F22" s="285"/>
      <c r="G22" s="198">
        <f>(((G20/10000)*(G21/100^2))/(1+((0.001*(H54/100^2))/((G54/1000)*(C12*PI()*0.06*(160/360))))))*1000</f>
        <v>0.22252962401670506</v>
      </c>
      <c r="H22" s="46" t="s">
        <v>42</v>
      </c>
      <c r="I22" t="s">
        <v>141</v>
      </c>
      <c r="J22" s="114" t="s">
        <v>142</v>
      </c>
    </row>
    <row r="23" spans="1:10" ht="19.5" customHeight="1" x14ac:dyDescent="0.35">
      <c r="A23" s="247"/>
      <c r="B23" s="253" t="s">
        <v>43</v>
      </c>
      <c r="C23" s="254"/>
      <c r="D23" s="255"/>
      <c r="E23" s="291" t="s">
        <v>143</v>
      </c>
      <c r="F23" s="292"/>
      <c r="G23" s="99">
        <f>G22*G13</f>
        <v>0.11126481200835253</v>
      </c>
      <c r="H23" s="47" t="s">
        <v>42</v>
      </c>
      <c r="J23" t="s">
        <v>144</v>
      </c>
    </row>
    <row r="24" spans="1:10" ht="19.5" customHeight="1" x14ac:dyDescent="0.35">
      <c r="A24" s="247"/>
      <c r="B24" s="18" t="s">
        <v>14</v>
      </c>
      <c r="C24" s="19" t="s">
        <v>15</v>
      </c>
      <c r="D24" s="20" t="s">
        <v>16</v>
      </c>
      <c r="E24" s="269" t="s">
        <v>45</v>
      </c>
      <c r="F24" s="270"/>
      <c r="G24" s="270"/>
      <c r="H24" s="271"/>
      <c r="I24" t="s">
        <v>145</v>
      </c>
      <c r="J24" t="s">
        <v>146</v>
      </c>
    </row>
    <row r="25" spans="1:10" ht="19.5" customHeight="1" x14ac:dyDescent="0.35">
      <c r="A25" s="247"/>
      <c r="B25" s="33" t="s">
        <v>147</v>
      </c>
      <c r="C25" s="95">
        <f>2*C21*C22</f>
        <v>688</v>
      </c>
      <c r="D25" s="21"/>
      <c r="E25" s="272" t="s">
        <v>14</v>
      </c>
      <c r="F25" s="273"/>
      <c r="G25" s="223" t="s">
        <v>15</v>
      </c>
      <c r="H25" s="29" t="s">
        <v>16</v>
      </c>
    </row>
    <row r="26" spans="1:10" ht="19.5" customHeight="1" x14ac:dyDescent="0.35">
      <c r="A26" s="247"/>
      <c r="B26" s="33" t="s">
        <v>148</v>
      </c>
      <c r="C26" s="95">
        <f>C18*C14</f>
        <v>2</v>
      </c>
      <c r="D26" s="21"/>
      <c r="E26" s="288" t="s">
        <v>149</v>
      </c>
      <c r="F26" s="289"/>
      <c r="G26" s="100">
        <f>(C25*C14)/(60*C26)</f>
        <v>11.466666666666667</v>
      </c>
      <c r="H26" s="30"/>
    </row>
    <row r="27" spans="1:10" ht="19.5" customHeight="1" x14ac:dyDescent="0.35">
      <c r="A27" s="247"/>
      <c r="B27" s="33" t="s">
        <v>150</v>
      </c>
      <c r="C27" s="95">
        <f>PI()</f>
        <v>3.1415926535897931</v>
      </c>
      <c r="D27" s="41" t="s">
        <v>50</v>
      </c>
      <c r="E27" s="288" t="s">
        <v>151</v>
      </c>
      <c r="F27" s="289"/>
      <c r="G27" s="100">
        <f>(C25*C14)/(2*PI()*C26)</f>
        <v>109.498600847224</v>
      </c>
      <c r="H27" s="44" t="s">
        <v>52</v>
      </c>
      <c r="J27" t="s">
        <v>152</v>
      </c>
    </row>
    <row r="28" spans="1:10" ht="19.5" customHeight="1" x14ac:dyDescent="0.35">
      <c r="A28" s="247"/>
      <c r="B28" s="33" t="s">
        <v>153</v>
      </c>
      <c r="C28" s="95">
        <f>PI()</f>
        <v>3.1415926535897931</v>
      </c>
      <c r="D28" s="41" t="s">
        <v>50</v>
      </c>
      <c r="E28" s="288" t="s">
        <v>154</v>
      </c>
      <c r="F28" s="289"/>
      <c r="G28" s="199">
        <f>1+((I51/1000) *(C32/1000))/(4*4)</f>
        <v>1.7412211</v>
      </c>
      <c r="H28" s="86" t="s">
        <v>55</v>
      </c>
      <c r="J28" t="s">
        <v>155</v>
      </c>
    </row>
    <row r="29" spans="1:10" ht="19.5" customHeight="1" x14ac:dyDescent="0.35">
      <c r="A29" s="247"/>
      <c r="B29" s="33" t="s">
        <v>156</v>
      </c>
      <c r="C29" s="95">
        <f>2*C13</f>
        <v>45</v>
      </c>
      <c r="D29" s="41" t="s">
        <v>18</v>
      </c>
      <c r="E29" s="263" t="s">
        <v>157</v>
      </c>
      <c r="F29" s="264"/>
      <c r="G29" s="101">
        <f>G16/G28</f>
        <v>1.0222710946932587</v>
      </c>
      <c r="H29" s="45" t="s">
        <v>58</v>
      </c>
      <c r="J29" t="s">
        <v>158</v>
      </c>
    </row>
    <row r="30" spans="1:10" ht="19.5" customHeight="1" x14ac:dyDescent="0.35">
      <c r="A30" s="247"/>
      <c r="B30" s="33" t="s">
        <v>159</v>
      </c>
      <c r="C30" s="95">
        <f>2*C29+2*C12</f>
        <v>128.4</v>
      </c>
      <c r="D30" s="41" t="s">
        <v>18</v>
      </c>
      <c r="E30" s="274" t="s">
        <v>60</v>
      </c>
      <c r="F30" s="275"/>
      <c r="G30" s="275"/>
      <c r="H30" s="276"/>
      <c r="J30" s="114" t="s">
        <v>160</v>
      </c>
    </row>
    <row r="31" spans="1:10" ht="19.5" customHeight="1" x14ac:dyDescent="0.35">
      <c r="A31" s="247"/>
      <c r="B31" s="33" t="s">
        <v>61</v>
      </c>
      <c r="C31" s="95">
        <f>C30*C22</f>
        <v>5521.2</v>
      </c>
      <c r="D31" s="41" t="s">
        <v>18</v>
      </c>
      <c r="E31" s="277" t="s">
        <v>14</v>
      </c>
      <c r="F31" s="278"/>
      <c r="G31" s="218" t="s">
        <v>15</v>
      </c>
      <c r="H31" s="31" t="s">
        <v>16</v>
      </c>
    </row>
    <row r="32" spans="1:10" ht="19.5" customHeight="1" x14ac:dyDescent="0.35">
      <c r="A32" s="247"/>
      <c r="B32" s="33" t="s">
        <v>161</v>
      </c>
      <c r="C32" s="95">
        <f>C31*C21</f>
        <v>44169.599999999999</v>
      </c>
      <c r="D32" s="41" t="s">
        <v>63</v>
      </c>
      <c r="E32" s="84" t="s">
        <v>162</v>
      </c>
      <c r="F32" s="214"/>
      <c r="G32" s="102">
        <f>G16/(G26*(G23/1000))</f>
        <v>1395.1630828970594</v>
      </c>
      <c r="H32" s="43" t="s">
        <v>65</v>
      </c>
      <c r="J32" t="s">
        <v>163</v>
      </c>
    </row>
    <row r="33" spans="1:11" ht="19.5" customHeight="1" x14ac:dyDescent="0.35">
      <c r="A33" s="247"/>
      <c r="B33" s="34" t="s">
        <v>66</v>
      </c>
      <c r="C33" s="96">
        <f>C22*0.823</f>
        <v>35.388999999999996</v>
      </c>
      <c r="D33" s="42" t="s">
        <v>164</v>
      </c>
      <c r="E33" s="84" t="s">
        <v>165</v>
      </c>
      <c r="F33" s="214"/>
      <c r="G33" s="102">
        <v>0</v>
      </c>
      <c r="H33" s="43" t="s">
        <v>65</v>
      </c>
      <c r="J33" t="s">
        <v>166</v>
      </c>
    </row>
    <row r="34" spans="1:11" ht="19.5" customHeight="1" x14ac:dyDescent="0.35">
      <c r="A34" s="247"/>
      <c r="B34" s="227" t="s">
        <v>69</v>
      </c>
      <c r="C34" s="228"/>
      <c r="D34" s="229"/>
      <c r="E34" s="244" t="s">
        <v>167</v>
      </c>
      <c r="F34" s="245"/>
      <c r="G34" s="102">
        <v>0</v>
      </c>
      <c r="H34" s="43" t="s">
        <v>71</v>
      </c>
    </row>
    <row r="35" spans="1:11" ht="19.5" customHeight="1" x14ac:dyDescent="0.35">
      <c r="A35" s="247"/>
      <c r="B35" s="83" t="s">
        <v>72</v>
      </c>
      <c r="C35" s="256" t="s">
        <v>73</v>
      </c>
      <c r="D35" s="257"/>
      <c r="E35" s="244" t="s">
        <v>168</v>
      </c>
      <c r="F35" s="245"/>
      <c r="G35" s="102">
        <f>G27*(G23/1000)*G29</f>
        <v>1.245467758484568E-2</v>
      </c>
      <c r="H35" s="43" t="s">
        <v>75</v>
      </c>
    </row>
    <row r="36" spans="1:11" ht="19.5" customHeight="1" x14ac:dyDescent="0.35">
      <c r="A36" s="247"/>
      <c r="B36" s="83" t="s">
        <v>76</v>
      </c>
      <c r="C36" s="256" t="s">
        <v>77</v>
      </c>
      <c r="D36" s="257"/>
      <c r="E36" s="244" t="s">
        <v>169</v>
      </c>
      <c r="F36" s="245"/>
      <c r="G36" s="102">
        <f>K39*K43</f>
        <v>0.45491063713850005</v>
      </c>
      <c r="H36" s="43" t="s">
        <v>55</v>
      </c>
      <c r="J36" t="s">
        <v>170</v>
      </c>
    </row>
    <row r="37" spans="1:11" ht="19.5" customHeight="1" x14ac:dyDescent="0.35">
      <c r="A37" s="247"/>
      <c r="B37" s="83" t="s">
        <v>79</v>
      </c>
      <c r="C37" s="256" t="s">
        <v>80</v>
      </c>
      <c r="D37" s="257"/>
      <c r="E37" s="244" t="s">
        <v>171</v>
      </c>
      <c r="F37" s="245"/>
      <c r="G37" s="102">
        <f>K44*K39</f>
        <v>0.3639285097108001</v>
      </c>
      <c r="H37" s="43" t="s">
        <v>55</v>
      </c>
      <c r="J37" t="s">
        <v>172</v>
      </c>
    </row>
    <row r="38" spans="1:11" ht="19.5" customHeight="1" x14ac:dyDescent="0.35">
      <c r="A38" s="247"/>
      <c r="B38" s="83" t="s">
        <v>82</v>
      </c>
      <c r="C38" s="256" t="s">
        <v>83</v>
      </c>
      <c r="D38" s="257"/>
      <c r="E38" s="244" t="s">
        <v>173</v>
      </c>
      <c r="F38" s="245"/>
      <c r="G38" s="102">
        <f>G16*K42</f>
        <v>0.90982127427700032</v>
      </c>
      <c r="H38" s="43" t="s">
        <v>55</v>
      </c>
    </row>
    <row r="39" spans="1:11" ht="19.5" customHeight="1" x14ac:dyDescent="0.35">
      <c r="A39" s="247"/>
      <c r="B39" s="83" t="s">
        <v>174</v>
      </c>
      <c r="C39" s="256" t="s">
        <v>86</v>
      </c>
      <c r="D39" s="257"/>
      <c r="E39" s="261" t="s">
        <v>87</v>
      </c>
      <c r="F39" s="262"/>
      <c r="G39" s="103">
        <f>(G37/G38)*100</f>
        <v>40</v>
      </c>
      <c r="H39" s="32"/>
      <c r="J39" t="s">
        <v>175</v>
      </c>
      <c r="K39">
        <f>K40/(30/PI())</f>
        <v>73.050568196484818</v>
      </c>
    </row>
    <row r="40" spans="1:11" ht="19.5" customHeight="1" x14ac:dyDescent="0.35">
      <c r="A40" s="248"/>
      <c r="B40" s="87" t="s">
        <v>88</v>
      </c>
      <c r="C40" s="239">
        <v>16</v>
      </c>
      <c r="D40" s="240"/>
      <c r="E40" s="104" t="s">
        <v>89</v>
      </c>
      <c r="F40" s="236"/>
      <c r="G40" s="237"/>
      <c r="H40" s="238"/>
      <c r="J40" t="s">
        <v>176</v>
      </c>
      <c r="K40">
        <f>G32/2</f>
        <v>697.58154144852972</v>
      </c>
    </row>
    <row r="41" spans="1:11" ht="19.5" customHeight="1" x14ac:dyDescent="0.35">
      <c r="B41" s="105" t="s">
        <v>90</v>
      </c>
      <c r="C41" s="110" t="s">
        <v>91</v>
      </c>
      <c r="D41" s="111" t="s">
        <v>92</v>
      </c>
      <c r="E41" s="234"/>
      <c r="F41" s="235"/>
      <c r="G41" s="235"/>
      <c r="H41" s="235"/>
      <c r="J41" t="s">
        <v>177</v>
      </c>
      <c r="K41">
        <f>K40*G26*(G23/1000)</f>
        <v>0.89</v>
      </c>
    </row>
    <row r="42" spans="1:11" ht="19.5" customHeight="1" x14ac:dyDescent="0.35">
      <c r="B42" t="s">
        <v>178</v>
      </c>
      <c r="C42" t="str">
        <f>IF(C32&lt;45000,"CORRECT","WRONG")</f>
        <v>CORRECT</v>
      </c>
      <c r="F42" s="114" t="s">
        <v>179</v>
      </c>
      <c r="J42" t="s">
        <v>180</v>
      </c>
      <c r="K42">
        <f>(G16-K41)/G28</f>
        <v>0.51113554734662936</v>
      </c>
    </row>
    <row r="43" spans="1:11" ht="19.5" customHeight="1" x14ac:dyDescent="0.35">
      <c r="B43" t="s">
        <v>181</v>
      </c>
      <c r="C43" t="str">
        <f>IF(G29&lt;5, "CORRECT", "WRONG")</f>
        <v>CORRECT</v>
      </c>
      <c r="E43" t="s">
        <v>182</v>
      </c>
      <c r="F43" s="1" t="s">
        <v>183</v>
      </c>
      <c r="J43" t="s">
        <v>184</v>
      </c>
      <c r="K43">
        <f>G27*(G23/1000)*K42</f>
        <v>6.2273387924228398E-3</v>
      </c>
    </row>
    <row r="44" spans="1:11" ht="19.5" customHeight="1" x14ac:dyDescent="0.35">
      <c r="B44" t="s">
        <v>185</v>
      </c>
      <c r="C44" t="str">
        <f>IF(G16&lt;30, "CORRECT", "WRONG")</f>
        <v>CORRECT</v>
      </c>
      <c r="E44" t="s">
        <v>186</v>
      </c>
      <c r="F44" s="114">
        <f>I63</f>
        <v>120</v>
      </c>
      <c r="J44" t="s">
        <v>187</v>
      </c>
      <c r="K44">
        <f>K43-(K43*G17)</f>
        <v>4.981871033938272E-3</v>
      </c>
    </row>
    <row r="45" spans="1:11" ht="19.5" customHeight="1" x14ac:dyDescent="0.35">
      <c r="B45" t="s">
        <v>188</v>
      </c>
      <c r="C45" t="str">
        <f>IF(G32&lt;2000, "CORRECT", "WRONG")</f>
        <v>CORRECT</v>
      </c>
      <c r="E45" t="s">
        <v>189</v>
      </c>
      <c r="F45">
        <v>0.6</v>
      </c>
    </row>
    <row r="46" spans="1:11" ht="19.5" customHeight="1" x14ac:dyDescent="0.35">
      <c r="E46" s="114" t="s">
        <v>190</v>
      </c>
      <c r="F46">
        <f>F44*F45</f>
        <v>72</v>
      </c>
    </row>
    <row r="47" spans="1:11" ht="39.75" customHeight="1" x14ac:dyDescent="0.35">
      <c r="B47" t="s">
        <v>191</v>
      </c>
      <c r="C47" t="str">
        <f>IF(G35&gt;0.000845, "CORRECT", "WRONG")</f>
        <v>CORRECT</v>
      </c>
      <c r="E47" s="114" t="s">
        <v>192</v>
      </c>
      <c r="F47">
        <f>F46/H51</f>
        <v>1121.4953271028039</v>
      </c>
      <c r="G47" s="114" t="s">
        <v>260</v>
      </c>
      <c r="H47" t="s">
        <v>261</v>
      </c>
    </row>
    <row r="48" spans="1:11" ht="19.5" customHeight="1" x14ac:dyDescent="0.35">
      <c r="F48">
        <f>F47/2</f>
        <v>560.74766355140196</v>
      </c>
    </row>
    <row r="49" spans="2:11" ht="19.5" customHeight="1" x14ac:dyDescent="0.35">
      <c r="B49" s="225" t="s">
        <v>193</v>
      </c>
      <c r="C49" s="226"/>
      <c r="D49" s="226"/>
      <c r="E49" s="226"/>
      <c r="F49" s="226"/>
      <c r="G49" s="226"/>
      <c r="H49" s="226"/>
      <c r="I49" s="226"/>
      <c r="J49" s="226"/>
      <c r="K49" s="226"/>
    </row>
    <row r="50" spans="2:11" ht="19.5" customHeight="1" x14ac:dyDescent="0.35">
      <c r="B50" s="200" t="s">
        <v>194</v>
      </c>
      <c r="C50" s="201" t="s">
        <v>195</v>
      </c>
      <c r="D50" s="201" t="s">
        <v>196</v>
      </c>
      <c r="E50" s="201" t="s">
        <v>197</v>
      </c>
      <c r="F50" s="201" t="s">
        <v>198</v>
      </c>
      <c r="G50" s="201" t="s">
        <v>199</v>
      </c>
      <c r="H50" s="201" t="s">
        <v>200</v>
      </c>
      <c r="I50" s="201" t="s">
        <v>201</v>
      </c>
      <c r="J50" s="201" t="s">
        <v>202</v>
      </c>
      <c r="K50" s="201" t="s">
        <v>203</v>
      </c>
    </row>
    <row r="51" spans="2:11" ht="19.5" customHeight="1" x14ac:dyDescent="0.35">
      <c r="B51" s="204">
        <f>C20</f>
        <v>29</v>
      </c>
      <c r="C51" s="202">
        <f>IFERROR(VLOOKUP(C20,'WIRES (OPT)'!$A$3:$I$46,2,FALSE()),"N/A")</f>
        <v>1.1299999999999999E-2</v>
      </c>
      <c r="D51" s="202">
        <f>IFERROR(VLOOKUP(C20,'WIRES (OPT)'!$A$3:$I$46,3,FALSE()),"N/A")</f>
        <v>0.28599999999999998</v>
      </c>
      <c r="E51" s="202">
        <f>IFERROR(VLOOKUP(C20,'WIRES (OPT)'!$A$3:$I$46,4,FALSE()),"N/A")</f>
        <v>88.8</v>
      </c>
      <c r="F51" s="202">
        <f>IFERROR(VLOOKUP(C20,'WIRES (OPT)'!$A$3:$I$46,5,FALSE()),"N/A")</f>
        <v>35</v>
      </c>
      <c r="G51" s="202">
        <f>IFERROR(VLOOKUP(C20,'WIRES (OPT)'!$A$3:$I$46,6,FALSE()),"N/A")</f>
        <v>0.127</v>
      </c>
      <c r="H51" s="202">
        <f>IFERROR(VLOOKUP(C20,'WIRES (OPT)'!$A$3:$I$46,7,FALSE()),"N/A")</f>
        <v>6.4199999999999993E-2</v>
      </c>
      <c r="I51" s="202">
        <f>IFERROR(VLOOKUP(C20,'WIRES (OPT)'!$A$3:$I$46,8,FALSE()),"N/A")</f>
        <v>268.5</v>
      </c>
      <c r="J51" s="202">
        <f>IFERROR(VLOOKUP(C20,'WIRES (OPT)'!$A$3:$I$46,9,FALSE()),"N/A")</f>
        <v>81.84</v>
      </c>
      <c r="K51" s="202" t="str">
        <f>"AWG "&amp;C20&amp;" from WIRES (OPT) table"</f>
        <v>AWG 29 from WIRES (OPT) table</v>
      </c>
    </row>
    <row r="52" spans="2:11" ht="19.5" customHeight="1" x14ac:dyDescent="0.35">
      <c r="B52" s="225" t="s">
        <v>204</v>
      </c>
      <c r="C52" s="226"/>
      <c r="D52" s="226"/>
      <c r="E52" s="226"/>
      <c r="F52" s="226"/>
      <c r="G52" s="226"/>
      <c r="H52" s="226"/>
      <c r="I52" s="226"/>
      <c r="J52" s="226"/>
    </row>
    <row r="53" spans="2:11" ht="19.5" customHeight="1" x14ac:dyDescent="0.35">
      <c r="B53" s="200" t="s">
        <v>205</v>
      </c>
      <c r="C53" s="201" t="s">
        <v>206</v>
      </c>
      <c r="D53" s="201" t="s">
        <v>207</v>
      </c>
      <c r="E53" s="201" t="s">
        <v>208</v>
      </c>
      <c r="F53" s="201" t="s">
        <v>209</v>
      </c>
      <c r="G53" s="201" t="s">
        <v>210</v>
      </c>
      <c r="H53" s="201" t="s">
        <v>211</v>
      </c>
      <c r="I53" s="201" t="s">
        <v>212</v>
      </c>
      <c r="J53" s="201" t="s">
        <v>203</v>
      </c>
    </row>
    <row r="54" spans="2:11" ht="19.5" customHeight="1" x14ac:dyDescent="0.35">
      <c r="B54" s="203" t="str">
        <f>G12</f>
        <v>#3495</v>
      </c>
      <c r="C54" s="202">
        <f>IFERROR(VLOOKUP(G12,'MAGNETS (OPT)'!$A$3:$G$7,2,FALSE()),"N/A")</f>
        <v>3709</v>
      </c>
      <c r="D54" s="202">
        <f>IFERROR(C54/10000,"N/A")</f>
        <v>0.37090000000000001</v>
      </c>
      <c r="E54" s="202">
        <f>IFERROR(VLOOKUP(G12,'MAGNETS (OPT)'!$A$3:$G$7,3,FALSE()),"N/A")</f>
        <v>40</v>
      </c>
      <c r="F54" s="202">
        <f>IFERROR(VLOOKUP(G12,'MAGNETS (OPT)'!$A$3:$G$7,4,FALSE()),"N/A")</f>
        <v>15</v>
      </c>
      <c r="G54" s="202">
        <f>IFERROR(VLOOKUP(G12,'MAGNETS (OPT)'!$A$3:$G$7,5,FALSE()),"N/A")</f>
        <v>8</v>
      </c>
      <c r="H54" s="202">
        <f>IFERROR(VLOOKUP(G12,'MAGNETS (OPT)'!$A$3:$G$7,6,FALSE()),"N/A")</f>
        <v>6</v>
      </c>
      <c r="I54" s="202">
        <f>IFERROR(VLOOKUP(G12,'MAGNETS (OPT)'!$A$3:$G$7,7,FALSE()),"N/A")</f>
        <v>0.22253999999999999</v>
      </c>
      <c r="J54" s="202" t="str">
        <f>"Code "&amp;G12&amp;" from MAGNETS (OPT) table"</f>
        <v>Code #3495 from MAGNETS (OPT) table</v>
      </c>
    </row>
    <row r="56" spans="2:11" ht="19.5" customHeight="1" x14ac:dyDescent="0.35">
      <c r="B56" s="409" t="s">
        <v>114</v>
      </c>
      <c r="C56" s="293"/>
      <c r="D56" s="293"/>
      <c r="E56" s="293"/>
      <c r="F56" s="293"/>
      <c r="G56" s="293"/>
      <c r="H56" s="293"/>
      <c r="I56" s="294"/>
    </row>
    <row r="57" spans="2:11" ht="19.5" customHeight="1" x14ac:dyDescent="0.35">
      <c r="B57" s="205"/>
      <c r="C57" s="206" t="s">
        <v>213</v>
      </c>
      <c r="D57" s="206" t="s">
        <v>214</v>
      </c>
      <c r="E57" s="206" t="s">
        <v>215</v>
      </c>
      <c r="F57" s="206" t="s">
        <v>216</v>
      </c>
      <c r="G57" s="206" t="s">
        <v>217</v>
      </c>
      <c r="H57" s="206" t="s">
        <v>218</v>
      </c>
      <c r="I57" s="206" t="s">
        <v>219</v>
      </c>
    </row>
    <row r="58" spans="2:11" ht="19.5" customHeight="1" x14ac:dyDescent="0.35">
      <c r="B58" s="205" t="s">
        <v>183</v>
      </c>
      <c r="C58" s="202">
        <v>8</v>
      </c>
      <c r="D58" s="202">
        <v>1.2</v>
      </c>
      <c r="E58" s="202">
        <v>30</v>
      </c>
      <c r="F58" s="202">
        <v>15</v>
      </c>
      <c r="G58" s="202">
        <v>8</v>
      </c>
      <c r="H58" s="202">
        <v>10</v>
      </c>
      <c r="I58" s="202">
        <f>F58*G58</f>
        <v>120</v>
      </c>
    </row>
    <row r="59" spans="2:11" ht="19.5" customHeight="1" x14ac:dyDescent="0.35">
      <c r="B59" s="205" t="s">
        <v>220</v>
      </c>
      <c r="C59" s="202">
        <v>6</v>
      </c>
      <c r="D59" s="202">
        <v>1</v>
      </c>
      <c r="E59" s="202">
        <v>30</v>
      </c>
      <c r="F59" s="202">
        <v>15</v>
      </c>
      <c r="G59" s="202">
        <v>10</v>
      </c>
      <c r="H59" s="202">
        <v>1</v>
      </c>
      <c r="I59" s="202">
        <f>F59*G59</f>
        <v>150</v>
      </c>
    </row>
    <row r="61" spans="2:11" ht="19.5" customHeight="1" x14ac:dyDescent="0.35">
      <c r="B61" s="224" t="s">
        <v>221</v>
      </c>
      <c r="C61" s="224"/>
      <c r="D61" s="224"/>
      <c r="E61" s="224"/>
      <c r="F61" s="224"/>
      <c r="G61" s="224"/>
      <c r="H61" s="224"/>
      <c r="I61" s="224"/>
    </row>
    <row r="62" spans="2:11" ht="19.5" customHeight="1" x14ac:dyDescent="0.35">
      <c r="B62" s="212" t="s">
        <v>222</v>
      </c>
      <c r="C62" s="206" t="s">
        <v>213</v>
      </c>
      <c r="D62" s="206" t="s">
        <v>214</v>
      </c>
      <c r="E62" s="206" t="s">
        <v>215</v>
      </c>
      <c r="F62" s="206" t="s">
        <v>216</v>
      </c>
      <c r="G62" s="206" t="s">
        <v>217</v>
      </c>
      <c r="H62" s="206" t="s">
        <v>218</v>
      </c>
      <c r="I62" s="206" t="s">
        <v>219</v>
      </c>
    </row>
    <row r="63" spans="2:11" ht="19.5" customHeight="1" x14ac:dyDescent="0.35">
      <c r="B63" s="210" t="str">
        <f>IFERROR(VLOOKUP(F43,'Group 20 Sheet'!$B$58:$I$59,1,FALSE()), 0)</f>
        <v>Lam 1</v>
      </c>
      <c r="C63" s="210">
        <f>IFERROR(VLOOKUP(F43,'Group 20 Sheet'!$B$58:$I$59,2,FALSE()), 0)</f>
        <v>8</v>
      </c>
      <c r="D63" s="211">
        <f>IFERROR(VLOOKUP(F43,'Group 20 Sheet'!$B$58:$I$59,3,FALSE()),"N/A")</f>
        <v>1.2</v>
      </c>
      <c r="E63" s="211">
        <f>IFERROR(VLOOKUP(F43,'Group 20 Sheet'!$B$58:$I$59,4,FALSE()),0)</f>
        <v>30</v>
      </c>
      <c r="F63" s="210">
        <f>IFERROR(VLOOKUP(F43,'Group 20 Sheet'!$B$58:$I$59,5,FALSE()), 0)</f>
        <v>15</v>
      </c>
      <c r="G63" s="210">
        <f>IFERROR(VLOOKUP(F43,'Group 20 Sheet'!$B$58:$I$59,6,FALSE()), 0)</f>
        <v>8</v>
      </c>
      <c r="H63" s="210">
        <f>IFERROR(VLOOKUP(F43,'Group 20 Sheet'!$B$58:$I$59,7,FALSE()), 0)</f>
        <v>10</v>
      </c>
      <c r="I63" s="210">
        <f>IFERROR(VLOOKUP(F43,'Group 20 Sheet'!$B$58:$I$59,8,FALSE()), 0)</f>
        <v>120</v>
      </c>
    </row>
  </sheetData>
  <mergeCells count="69">
    <mergeCell ref="B56:I56"/>
    <mergeCell ref="B1:H1"/>
    <mergeCell ref="C37:D37"/>
    <mergeCell ref="C3:D3"/>
    <mergeCell ref="E35:F35"/>
    <mergeCell ref="E37:F37"/>
    <mergeCell ref="E14:H14"/>
    <mergeCell ref="E15:F15"/>
    <mergeCell ref="E16:F16"/>
    <mergeCell ref="E10:H10"/>
    <mergeCell ref="E11:F11"/>
    <mergeCell ref="E12:F12"/>
    <mergeCell ref="E19:F19"/>
    <mergeCell ref="E13:F13"/>
    <mergeCell ref="B15:D15"/>
    <mergeCell ref="C39:D39"/>
    <mergeCell ref="B34:D34"/>
    <mergeCell ref="E30:H30"/>
    <mergeCell ref="E31:F31"/>
    <mergeCell ref="G5:H5"/>
    <mergeCell ref="G6:H6"/>
    <mergeCell ref="G7:H7"/>
    <mergeCell ref="G8:H8"/>
    <mergeCell ref="G9:H9"/>
    <mergeCell ref="E20:F20"/>
    <mergeCell ref="E17:F17"/>
    <mergeCell ref="E28:F28"/>
    <mergeCell ref="E21:F21"/>
    <mergeCell ref="E22:F22"/>
    <mergeCell ref="E23:F23"/>
    <mergeCell ref="E26:F26"/>
    <mergeCell ref="E27:F27"/>
    <mergeCell ref="G4:H4"/>
    <mergeCell ref="E4:F4"/>
    <mergeCell ref="E18:H18"/>
    <mergeCell ref="E24:H24"/>
    <mergeCell ref="E25:F25"/>
    <mergeCell ref="E34:F34"/>
    <mergeCell ref="A10:A40"/>
    <mergeCell ref="A4:A9"/>
    <mergeCell ref="C4:D4"/>
    <mergeCell ref="C5:D5"/>
    <mergeCell ref="C6:D6"/>
    <mergeCell ref="C7:D7"/>
    <mergeCell ref="C8:D8"/>
    <mergeCell ref="C9:D9"/>
    <mergeCell ref="B23:D23"/>
    <mergeCell ref="C36:D36"/>
    <mergeCell ref="C38:D38"/>
    <mergeCell ref="B10:D10"/>
    <mergeCell ref="C35:D35"/>
    <mergeCell ref="E39:F39"/>
    <mergeCell ref="E29:F29"/>
    <mergeCell ref="B61:I61"/>
    <mergeCell ref="B49:K49"/>
    <mergeCell ref="B52:J52"/>
    <mergeCell ref="B2:D2"/>
    <mergeCell ref="E2:F2"/>
    <mergeCell ref="G2:H2"/>
    <mergeCell ref="E41:H41"/>
    <mergeCell ref="F40:H40"/>
    <mergeCell ref="C40:D40"/>
    <mergeCell ref="E5:F5"/>
    <mergeCell ref="E6:F6"/>
    <mergeCell ref="E7:F7"/>
    <mergeCell ref="E8:F8"/>
    <mergeCell ref="E9:F9"/>
    <mergeCell ref="E38:F38"/>
    <mergeCell ref="E36:F36"/>
  </mergeCells>
  <conditionalFormatting sqref="D45">
    <cfRule type="cellIs" dxfId="2" priority="3" operator="equal">
      <formula>"CORRECT"</formula>
    </cfRule>
    <cfRule type="cellIs" priority="4" operator="equal">
      <formula>"CORRECT"</formula>
    </cfRule>
  </conditionalFormatting>
  <conditionalFormatting sqref="C42">
    <cfRule type="containsText" dxfId="1" priority="2" operator="containsText" text="CORRECT">
      <formula>NOT(ISERROR(SEARCH("CORRECT",C42)))</formula>
    </cfRule>
  </conditionalFormatting>
  <conditionalFormatting sqref="C41:C47">
    <cfRule type="containsText" dxfId="0" priority="1" operator="containsText" text="CORRECT">
      <formula>NOT(ISERROR(SEARCH("CORRECT",C41)))</formula>
    </cfRule>
  </conditionalFormatting>
  <dataValidations count="5">
    <dataValidation type="list" allowBlank="1" showInputMessage="1" showErrorMessage="1" sqref="C46" xr:uid="{00000000-0002-0000-0000-000000000000}">
      <formula1>AWGList</formula1>
    </dataValidation>
    <dataValidation type="list" allowBlank="1" showInputMessage="1" showErrorMessage="1" sqref="F3" xr:uid="{00000000-0002-0000-0000-000001000000}">
      <formula1>"1,2,SUMMER"</formula1>
    </dataValidation>
    <dataValidation type="list" allowBlank="1" showInputMessage="1" showErrorMessage="1" sqref="G2:H2" xr:uid="{00000000-0002-0000-0000-000002000000}">
      <formula1>"CONFIRMED, REJECTED"</formula1>
    </dataValidation>
    <dataValidation type="list" allowBlank="1" showInputMessage="1" showErrorMessage="1" sqref="C17" xr:uid="{00000000-0002-0000-0000-000003000000}">
      <formula1>"Lap Wound, Wave Wound"</formula1>
    </dataValidation>
    <dataValidation type="list" allowBlank="1" showInputMessage="1" showErrorMessage="1" sqref="B58:B59 F43" xr:uid="{B220E333-1A27-4710-AA6F-CD9D35505A98}">
      <formula1>$B$58:$B$59</formula1>
    </dataValidation>
  </dataValidations>
  <pageMargins left="0.7" right="0.7" top="0.75" bottom="0.75" header="0.3" footer="0.3"/>
  <pageSetup paperSize="9" scale="63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4000000}">
          <x14:formula1>
            <xm:f>'WIRES (OPT)'!$A$24:$A$35</xm:f>
          </x14:formula1>
          <xm:sqref>C20</xm:sqref>
        </x14:dataValidation>
        <x14:dataValidation type="list" allowBlank="1" showInputMessage="1" showErrorMessage="1" xr:uid="{00000000-0002-0000-0000-000005000000}">
          <x14:formula1>
            <xm:f>'MAGNETS (OPT)'!$A$3:$A$7</xm:f>
          </x14:formula1>
          <xm:sqref>G12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2B32F-FD2A-47DA-AA43-F24332C9EFA7}">
  <dimension ref="A1"/>
  <sheetViews>
    <sheetView workbookViewId="0">
      <selection activeCell="E8" sqref="E8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7DC8-0053-4825-8E44-8C58D08D117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5754-D739-4465-A027-EC974D8C31D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G8"/>
  <sheetViews>
    <sheetView zoomScaleNormal="100" zoomScaleSheetLayoutView="115" workbookViewId="0">
      <selection activeCell="G9" sqref="A1:G9"/>
    </sheetView>
  </sheetViews>
  <sheetFormatPr defaultRowHeight="14.5" x14ac:dyDescent="0.35"/>
  <cols>
    <col min="1" max="2" width="9.1796875" style="50"/>
    <col min="3" max="7" width="16.453125" style="50" customWidth="1"/>
  </cols>
  <sheetData>
    <row r="1" spans="1:7" ht="15" thickTop="1" x14ac:dyDescent="0.35">
      <c r="A1" s="397" t="s">
        <v>223</v>
      </c>
      <c r="B1" s="398"/>
      <c r="C1" s="398"/>
      <c r="D1" s="398"/>
      <c r="E1" s="398"/>
      <c r="F1" s="398"/>
      <c r="G1" s="399"/>
    </row>
    <row r="2" spans="1:7" ht="16.5" x14ac:dyDescent="0.35">
      <c r="A2" s="3" t="s">
        <v>224</v>
      </c>
      <c r="B2" s="4" t="s">
        <v>206</v>
      </c>
      <c r="C2" s="4" t="s">
        <v>225</v>
      </c>
      <c r="D2" s="4" t="s">
        <v>226</v>
      </c>
      <c r="E2" s="4" t="s">
        <v>227</v>
      </c>
      <c r="F2" s="4" t="s">
        <v>228</v>
      </c>
      <c r="G2" s="5" t="s">
        <v>212</v>
      </c>
    </row>
    <row r="3" spans="1:7" x14ac:dyDescent="0.35">
      <c r="A3" s="52" t="s">
        <v>229</v>
      </c>
      <c r="B3" s="53">
        <v>1400</v>
      </c>
      <c r="C3" s="53">
        <v>50</v>
      </c>
      <c r="D3" s="53">
        <v>20</v>
      </c>
      <c r="E3" s="53">
        <v>12.7</v>
      </c>
      <c r="F3" s="55">
        <f>(D3/10)*(C3/10)</f>
        <v>10</v>
      </c>
      <c r="G3" s="56">
        <f>(B3/10000)*(F3/100^2)*1000</f>
        <v>0.14000000000000001</v>
      </c>
    </row>
    <row r="4" spans="1:7" x14ac:dyDescent="0.35">
      <c r="A4" s="52" t="s">
        <v>116</v>
      </c>
      <c r="B4" s="53">
        <v>3709</v>
      </c>
      <c r="C4" s="53">
        <v>40</v>
      </c>
      <c r="D4" s="53">
        <v>15</v>
      </c>
      <c r="E4" s="53">
        <v>8</v>
      </c>
      <c r="F4" s="55">
        <f t="shared" ref="F4:F7" si="0">(D4/10)*(C4/10)</f>
        <v>6</v>
      </c>
      <c r="G4" s="56">
        <f t="shared" ref="G4:G7" si="1">(B4/10000)*(F4/100^2)*1000</f>
        <v>0.22253999999999999</v>
      </c>
    </row>
    <row r="5" spans="1:7" x14ac:dyDescent="0.35">
      <c r="A5" s="51" t="s">
        <v>230</v>
      </c>
      <c r="B5" s="6">
        <v>2408</v>
      </c>
      <c r="C5" s="6">
        <v>25</v>
      </c>
      <c r="D5" s="6">
        <v>12.5</v>
      </c>
      <c r="E5" s="6">
        <v>3.5</v>
      </c>
      <c r="F5" s="55">
        <f t="shared" si="0"/>
        <v>3.125</v>
      </c>
      <c r="G5" s="56">
        <f t="shared" si="1"/>
        <v>7.5249999999999997E-2</v>
      </c>
    </row>
    <row r="6" spans="1:7" x14ac:dyDescent="0.35">
      <c r="A6" s="51" t="s">
        <v>231</v>
      </c>
      <c r="B6" s="6">
        <v>3625</v>
      </c>
      <c r="C6" s="6">
        <v>25</v>
      </c>
      <c r="D6" s="6">
        <v>12.5</v>
      </c>
      <c r="E6" s="6">
        <v>6</v>
      </c>
      <c r="F6" s="55">
        <f t="shared" si="0"/>
        <v>3.125</v>
      </c>
      <c r="G6" s="56">
        <f t="shared" si="1"/>
        <v>0.11328124999999999</v>
      </c>
    </row>
    <row r="7" spans="1:7" ht="15" thickBot="1" x14ac:dyDescent="0.4">
      <c r="A7" s="54" t="s">
        <v>232</v>
      </c>
      <c r="B7" s="7">
        <v>580</v>
      </c>
      <c r="C7" s="7">
        <v>20</v>
      </c>
      <c r="D7" s="7">
        <v>15</v>
      </c>
      <c r="E7" s="7">
        <v>5</v>
      </c>
      <c r="F7" s="57">
        <f t="shared" si="0"/>
        <v>3</v>
      </c>
      <c r="G7" s="58">
        <f t="shared" si="1"/>
        <v>1.7399999999999999E-2</v>
      </c>
    </row>
    <row r="8" spans="1:7" ht="15" thickTop="1" x14ac:dyDescent="0.35">
      <c r="A8" s="400" t="s">
        <v>233</v>
      </c>
      <c r="B8" s="400"/>
      <c r="C8" s="400"/>
      <c r="D8" s="400"/>
      <c r="E8" s="400"/>
      <c r="F8" s="400"/>
      <c r="G8" s="400"/>
    </row>
  </sheetData>
  <sheetProtection algorithmName="SHA-512" hashValue="GR5wvLWBeNZqeDTq/lLhCkqd7D+AOSYz3psF4PGC2iMGsb8Y314hUGRfdgDnqhx7axFZUsb8Ion2Bg1jP5j3GQ==" saltValue="e8y87cQnLxSHCL6pCsI0lA==" spinCount="100000" sheet="1" objects="1" scenarios="1"/>
  <mergeCells count="2">
    <mergeCell ref="A1:G1"/>
    <mergeCell ref="A8:G8"/>
  </mergeCells>
  <pageMargins left="0.7" right="0.7" top="0.75" bottom="0.75" header="0.3" footer="0.3"/>
  <pageSetup paperSize="9" scale="8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P47"/>
  <sheetViews>
    <sheetView zoomScale="115" zoomScaleNormal="115" zoomScaleSheetLayoutView="100" workbookViewId="0">
      <pane xSplit="1" ySplit="2" topLeftCell="G20" activePane="bottomRight" state="frozen"/>
      <selection pane="topRight" activeCell="B1" sqref="B1"/>
      <selection pane="bottomLeft" activeCell="A3" sqref="A3"/>
      <selection pane="bottomRight" activeCell="G2" sqref="G1:G1048576"/>
    </sheetView>
  </sheetViews>
  <sheetFormatPr defaultColWidth="9.1796875" defaultRowHeight="14.5" x14ac:dyDescent="0.35"/>
  <cols>
    <col min="8" max="8" width="10.7265625" customWidth="1"/>
    <col min="15" max="15" width="10" bestFit="1" customWidth="1"/>
  </cols>
  <sheetData>
    <row r="1" spans="1:16" s="82" customFormat="1" ht="30" customHeight="1" thickTop="1" x14ac:dyDescent="0.35">
      <c r="A1" s="404" t="s">
        <v>194</v>
      </c>
      <c r="B1" s="406" t="s">
        <v>234</v>
      </c>
      <c r="C1" s="406"/>
      <c r="D1" s="407" t="s">
        <v>235</v>
      </c>
      <c r="E1" s="407"/>
      <c r="F1" s="406" t="s">
        <v>236</v>
      </c>
      <c r="G1" s="406"/>
      <c r="H1" s="406" t="s">
        <v>237</v>
      </c>
      <c r="I1" s="408"/>
      <c r="J1" s="401" t="s">
        <v>238</v>
      </c>
    </row>
    <row r="2" spans="1:16" s="82" customFormat="1" ht="16.5" x14ac:dyDescent="0.4">
      <c r="A2" s="405"/>
      <c r="B2" s="59" t="s">
        <v>239</v>
      </c>
      <c r="C2" s="59" t="s">
        <v>240</v>
      </c>
      <c r="D2" s="59" t="s">
        <v>241</v>
      </c>
      <c r="E2" s="59" t="s">
        <v>242</v>
      </c>
      <c r="F2" s="59" t="s">
        <v>243</v>
      </c>
      <c r="G2" s="59" t="s">
        <v>244</v>
      </c>
      <c r="H2" s="59" t="s">
        <v>245</v>
      </c>
      <c r="I2" s="60" t="s">
        <v>246</v>
      </c>
      <c r="J2" s="402"/>
      <c r="L2" s="82" t="s">
        <v>247</v>
      </c>
    </row>
    <row r="3" spans="1:16" s="82" customFormat="1" x14ac:dyDescent="0.35">
      <c r="A3" s="61" t="s">
        <v>248</v>
      </c>
      <c r="B3" s="62">
        <v>0.46</v>
      </c>
      <c r="C3" s="62">
        <v>11.683999999999999</v>
      </c>
      <c r="D3" s="62">
        <v>2.17</v>
      </c>
      <c r="E3" s="62">
        <v>0.85599999999999998</v>
      </c>
      <c r="F3" s="62">
        <v>212</v>
      </c>
      <c r="G3" s="62">
        <v>107</v>
      </c>
      <c r="H3" s="62">
        <v>0.1608</v>
      </c>
      <c r="I3" s="63">
        <v>4.9009999999999998E-2</v>
      </c>
      <c r="J3" s="108">
        <f>2*(4/1000^2)*(G3/1000^2)</f>
        <v>8.5599999999999994E-10</v>
      </c>
      <c r="L3" s="82" t="s">
        <v>249</v>
      </c>
    </row>
    <row r="4" spans="1:16" s="82" customFormat="1" x14ac:dyDescent="0.35">
      <c r="A4" s="61" t="s">
        <v>250</v>
      </c>
      <c r="B4" s="62">
        <v>0.40960000000000002</v>
      </c>
      <c r="C4" s="62">
        <v>10.404</v>
      </c>
      <c r="D4" s="62">
        <v>2.44</v>
      </c>
      <c r="E4" s="62">
        <v>0.96099999999999997</v>
      </c>
      <c r="F4" s="62">
        <v>168</v>
      </c>
      <c r="G4" s="62">
        <v>85</v>
      </c>
      <c r="H4" s="62">
        <v>0.20280000000000001</v>
      </c>
      <c r="I4" s="63">
        <v>6.1800000000000001E-2</v>
      </c>
      <c r="J4" s="108">
        <f t="shared" ref="J4:J46" si="0">2*(4/1000^2)*(G4/1000^2)</f>
        <v>6.8000000000000003E-10</v>
      </c>
      <c r="L4" s="82" t="s">
        <v>251</v>
      </c>
      <c r="M4" s="82" t="s">
        <v>252</v>
      </c>
      <c r="N4" s="82" t="s">
        <v>253</v>
      </c>
      <c r="P4" s="82" t="s">
        <v>254</v>
      </c>
    </row>
    <row r="5" spans="1:16" s="82" customFormat="1" x14ac:dyDescent="0.35">
      <c r="A5" s="61" t="s">
        <v>255</v>
      </c>
      <c r="B5" s="62">
        <v>0.36480000000000001</v>
      </c>
      <c r="C5" s="62">
        <v>9.266</v>
      </c>
      <c r="D5" s="62">
        <v>2.74</v>
      </c>
      <c r="E5" s="62">
        <v>1.08</v>
      </c>
      <c r="F5" s="62">
        <v>133</v>
      </c>
      <c r="G5" s="62">
        <v>67.400000000000006</v>
      </c>
      <c r="H5" s="62">
        <v>0.25569999999999998</v>
      </c>
      <c r="I5" s="63">
        <v>7.7929999999999999E-2</v>
      </c>
      <c r="J5" s="108">
        <f t="shared" si="0"/>
        <v>5.3920000000000006E-10</v>
      </c>
    </row>
    <row r="6" spans="1:16" s="82" customFormat="1" x14ac:dyDescent="0.35">
      <c r="A6" s="61" t="s">
        <v>256</v>
      </c>
      <c r="B6" s="62">
        <v>0.32490000000000002</v>
      </c>
      <c r="C6" s="62">
        <v>8.2520000000000007</v>
      </c>
      <c r="D6" s="62">
        <v>3.08</v>
      </c>
      <c r="E6" s="62">
        <v>1.21</v>
      </c>
      <c r="F6" s="62">
        <v>106</v>
      </c>
      <c r="G6" s="62">
        <v>53.5</v>
      </c>
      <c r="H6" s="62">
        <v>0.32240000000000002</v>
      </c>
      <c r="I6" s="63">
        <v>9.8269999999999996E-2</v>
      </c>
      <c r="J6" s="108">
        <f t="shared" si="0"/>
        <v>4.2799999999999997E-10</v>
      </c>
      <c r="L6" s="82" t="s">
        <v>257</v>
      </c>
      <c r="O6" s="82">
        <f>MAX(J3:J46)</f>
        <v>8.5599999999999994E-10</v>
      </c>
    </row>
    <row r="7" spans="1:16" s="82" customFormat="1" x14ac:dyDescent="0.35">
      <c r="A7" s="61">
        <v>1</v>
      </c>
      <c r="B7" s="62">
        <v>0.2893</v>
      </c>
      <c r="C7" s="62">
        <v>7.3479999999999999</v>
      </c>
      <c r="D7" s="62">
        <v>3.46</v>
      </c>
      <c r="E7" s="62">
        <v>1.36</v>
      </c>
      <c r="F7" s="62">
        <v>83.7</v>
      </c>
      <c r="G7" s="62">
        <v>42.4</v>
      </c>
      <c r="H7" s="62">
        <v>0.40660000000000002</v>
      </c>
      <c r="I7" s="63">
        <v>0.1239</v>
      </c>
      <c r="J7" s="108">
        <f t="shared" si="0"/>
        <v>3.3919999999999998E-10</v>
      </c>
      <c r="L7" s="82" t="s">
        <v>258</v>
      </c>
      <c r="O7" s="82">
        <f>MAX(J24:J35)</f>
        <v>6.5839999999999994E-12</v>
      </c>
      <c r="P7" s="82" t="s">
        <v>259</v>
      </c>
    </row>
    <row r="8" spans="1:16" s="82" customFormat="1" x14ac:dyDescent="0.35">
      <c r="A8" s="61">
        <v>2</v>
      </c>
      <c r="B8" s="62">
        <v>0.2576</v>
      </c>
      <c r="C8" s="62">
        <v>6.5439999999999996</v>
      </c>
      <c r="D8" s="62">
        <v>3.88</v>
      </c>
      <c r="E8" s="62">
        <v>1.53</v>
      </c>
      <c r="F8" s="62">
        <v>66.400000000000006</v>
      </c>
      <c r="G8" s="62">
        <v>33.6</v>
      </c>
      <c r="H8" s="62">
        <v>0.51270000000000004</v>
      </c>
      <c r="I8" s="63">
        <v>0.15629999999999999</v>
      </c>
      <c r="J8" s="108">
        <f t="shared" si="0"/>
        <v>2.6879999999999999E-10</v>
      </c>
    </row>
    <row r="9" spans="1:16" s="82" customFormat="1" x14ac:dyDescent="0.35">
      <c r="A9" s="61">
        <v>3</v>
      </c>
      <c r="B9" s="62">
        <v>0.22939999999999999</v>
      </c>
      <c r="C9" s="62">
        <v>5.827</v>
      </c>
      <c r="D9" s="62">
        <v>4.3600000000000003</v>
      </c>
      <c r="E9" s="62">
        <v>1.72</v>
      </c>
      <c r="F9" s="62">
        <v>52.6</v>
      </c>
      <c r="G9" s="62">
        <v>26.7</v>
      </c>
      <c r="H9" s="62">
        <v>0.64649999999999996</v>
      </c>
      <c r="I9" s="63">
        <v>0.19700000000000001</v>
      </c>
      <c r="J9" s="108">
        <f t="shared" si="0"/>
        <v>2.1359999999999997E-10</v>
      </c>
    </row>
    <row r="10" spans="1:16" s="82" customFormat="1" x14ac:dyDescent="0.35">
      <c r="A10" s="61">
        <v>4</v>
      </c>
      <c r="B10" s="62">
        <v>0.20430000000000001</v>
      </c>
      <c r="C10" s="62">
        <v>5.1890000000000001</v>
      </c>
      <c r="D10" s="62">
        <v>4.8899999999999997</v>
      </c>
      <c r="E10" s="62">
        <v>1.93</v>
      </c>
      <c r="F10" s="62">
        <v>41.7</v>
      </c>
      <c r="G10" s="62">
        <v>21.2</v>
      </c>
      <c r="H10" s="62">
        <v>0.81520000000000004</v>
      </c>
      <c r="I10" s="63">
        <v>0.2485</v>
      </c>
      <c r="J10" s="108">
        <f t="shared" si="0"/>
        <v>1.6959999999999999E-10</v>
      </c>
    </row>
    <row r="11" spans="1:16" s="82" customFormat="1" x14ac:dyDescent="0.35">
      <c r="A11" s="61">
        <v>5</v>
      </c>
      <c r="B11" s="62">
        <v>0.18190000000000001</v>
      </c>
      <c r="C11" s="62">
        <v>4.6210000000000004</v>
      </c>
      <c r="D11" s="62">
        <v>5.5</v>
      </c>
      <c r="E11" s="62">
        <v>2.16</v>
      </c>
      <c r="F11" s="62">
        <v>33.1</v>
      </c>
      <c r="G11" s="62">
        <v>16.8</v>
      </c>
      <c r="H11" s="62">
        <v>1.028</v>
      </c>
      <c r="I11" s="63">
        <v>0.31330000000000002</v>
      </c>
      <c r="J11" s="108">
        <f t="shared" si="0"/>
        <v>1.344E-10</v>
      </c>
    </row>
    <row r="12" spans="1:16" s="82" customFormat="1" x14ac:dyDescent="0.35">
      <c r="A12" s="61">
        <v>6</v>
      </c>
      <c r="B12" s="62">
        <v>0.16200000000000001</v>
      </c>
      <c r="C12" s="62">
        <v>4.1150000000000002</v>
      </c>
      <c r="D12" s="62">
        <v>6.17</v>
      </c>
      <c r="E12" s="62">
        <v>2.4300000000000002</v>
      </c>
      <c r="F12" s="62">
        <v>26.3</v>
      </c>
      <c r="G12" s="62">
        <v>13.3</v>
      </c>
      <c r="H12" s="62">
        <v>1.296</v>
      </c>
      <c r="I12" s="63">
        <v>0.39510000000000001</v>
      </c>
      <c r="J12" s="108">
        <f t="shared" si="0"/>
        <v>1.064E-10</v>
      </c>
    </row>
    <row r="13" spans="1:16" s="82" customFormat="1" x14ac:dyDescent="0.35">
      <c r="A13" s="61">
        <v>7</v>
      </c>
      <c r="B13" s="62">
        <v>0.14430000000000001</v>
      </c>
      <c r="C13" s="62">
        <v>3.665</v>
      </c>
      <c r="D13" s="62">
        <v>6.93</v>
      </c>
      <c r="E13" s="62">
        <v>2.73</v>
      </c>
      <c r="F13" s="62">
        <v>20.8</v>
      </c>
      <c r="G13" s="62">
        <v>10.5</v>
      </c>
      <c r="H13" s="62">
        <v>1.6339999999999999</v>
      </c>
      <c r="I13" s="63">
        <v>0.49819999999999998</v>
      </c>
      <c r="J13" s="108">
        <f t="shared" si="0"/>
        <v>8.3999999999999994E-11</v>
      </c>
    </row>
    <row r="14" spans="1:16" s="82" customFormat="1" x14ac:dyDescent="0.35">
      <c r="A14" s="61">
        <v>8</v>
      </c>
      <c r="B14" s="62">
        <v>0.1285</v>
      </c>
      <c r="C14" s="62">
        <v>3.2639999999999998</v>
      </c>
      <c r="D14" s="62">
        <v>7.78</v>
      </c>
      <c r="E14" s="62">
        <v>3.06</v>
      </c>
      <c r="F14" s="62">
        <v>16.5</v>
      </c>
      <c r="G14" s="62">
        <v>8.3699999999999992</v>
      </c>
      <c r="H14" s="62">
        <v>2.0609999999999999</v>
      </c>
      <c r="I14" s="63">
        <v>0.62819999999999998</v>
      </c>
      <c r="J14" s="108">
        <f t="shared" si="0"/>
        <v>6.6959999999999994E-11</v>
      </c>
    </row>
    <row r="15" spans="1:16" s="82" customFormat="1" x14ac:dyDescent="0.35">
      <c r="A15" s="61">
        <v>9</v>
      </c>
      <c r="B15" s="62">
        <v>0.1144</v>
      </c>
      <c r="C15" s="62">
        <v>2.9060000000000001</v>
      </c>
      <c r="D15" s="62">
        <v>8.74</v>
      </c>
      <c r="E15" s="62">
        <v>3.44</v>
      </c>
      <c r="F15" s="62">
        <v>13.1</v>
      </c>
      <c r="G15" s="62">
        <v>6.63</v>
      </c>
      <c r="H15" s="62">
        <v>2.5990000000000002</v>
      </c>
      <c r="I15" s="63">
        <v>0.79210000000000003</v>
      </c>
      <c r="J15" s="108">
        <f t="shared" si="0"/>
        <v>5.3039999999999999E-11</v>
      </c>
    </row>
    <row r="16" spans="1:16" s="82" customFormat="1" x14ac:dyDescent="0.35">
      <c r="A16" s="61">
        <v>10</v>
      </c>
      <c r="B16" s="62">
        <v>0.1019</v>
      </c>
      <c r="C16" s="62">
        <v>2.5880000000000001</v>
      </c>
      <c r="D16" s="62">
        <v>9.81</v>
      </c>
      <c r="E16" s="62">
        <v>3.86</v>
      </c>
      <c r="F16" s="62">
        <v>10.4</v>
      </c>
      <c r="G16" s="62">
        <v>5.26</v>
      </c>
      <c r="H16" s="62">
        <v>3.2770000000000001</v>
      </c>
      <c r="I16" s="63">
        <v>0.99890000000000001</v>
      </c>
      <c r="J16" s="108">
        <f t="shared" si="0"/>
        <v>4.2079999999999992E-11</v>
      </c>
    </row>
    <row r="17" spans="1:10" s="82" customFormat="1" x14ac:dyDescent="0.35">
      <c r="A17" s="61">
        <v>11</v>
      </c>
      <c r="B17" s="62">
        <v>9.0700000000000003E-2</v>
      </c>
      <c r="C17" s="62">
        <v>2.3050000000000002</v>
      </c>
      <c r="D17" s="62">
        <v>11</v>
      </c>
      <c r="E17" s="62">
        <v>4.34</v>
      </c>
      <c r="F17" s="62">
        <v>8.23</v>
      </c>
      <c r="G17" s="62">
        <v>4.17</v>
      </c>
      <c r="H17" s="62">
        <v>4.1319999999999997</v>
      </c>
      <c r="I17" s="63">
        <v>1.26</v>
      </c>
      <c r="J17" s="108">
        <f t="shared" si="0"/>
        <v>3.3359999999999995E-11</v>
      </c>
    </row>
    <row r="18" spans="1:10" s="82" customFormat="1" x14ac:dyDescent="0.35">
      <c r="A18" s="61">
        <v>12</v>
      </c>
      <c r="B18" s="62">
        <v>8.0799999999999997E-2</v>
      </c>
      <c r="C18" s="62">
        <v>2.0529999999999999</v>
      </c>
      <c r="D18" s="62">
        <v>12.4</v>
      </c>
      <c r="E18" s="62">
        <v>4.87</v>
      </c>
      <c r="F18" s="62">
        <v>6.53</v>
      </c>
      <c r="G18" s="62">
        <v>3.31</v>
      </c>
      <c r="H18" s="62">
        <v>5.2110000000000003</v>
      </c>
      <c r="I18" s="63">
        <v>1.5880000000000001</v>
      </c>
      <c r="J18" s="108">
        <f t="shared" si="0"/>
        <v>2.6479999999999999E-11</v>
      </c>
    </row>
    <row r="19" spans="1:10" s="82" customFormat="1" x14ac:dyDescent="0.35">
      <c r="A19" s="61">
        <v>13</v>
      </c>
      <c r="B19" s="62">
        <v>7.1999999999999995E-2</v>
      </c>
      <c r="C19" s="62">
        <v>1.8280000000000001</v>
      </c>
      <c r="D19" s="62">
        <v>13.9</v>
      </c>
      <c r="E19" s="62">
        <v>5.47</v>
      </c>
      <c r="F19" s="62">
        <v>5.18</v>
      </c>
      <c r="G19" s="62">
        <v>2.62</v>
      </c>
      <c r="H19" s="62">
        <v>6.5709999999999997</v>
      </c>
      <c r="I19" s="63">
        <v>2.0030000000000001</v>
      </c>
      <c r="J19" s="108">
        <f t="shared" si="0"/>
        <v>2.0959999999999998E-11</v>
      </c>
    </row>
    <row r="20" spans="1:10" s="82" customFormat="1" x14ac:dyDescent="0.35">
      <c r="A20" s="61">
        <v>14</v>
      </c>
      <c r="B20" s="62">
        <v>6.4100000000000004E-2</v>
      </c>
      <c r="C20" s="62">
        <v>1.6279999999999999</v>
      </c>
      <c r="D20" s="62">
        <v>15.6</v>
      </c>
      <c r="E20" s="62">
        <v>6.14</v>
      </c>
      <c r="F20" s="62">
        <v>4.1100000000000003</v>
      </c>
      <c r="G20" s="62">
        <v>2.08</v>
      </c>
      <c r="H20" s="62">
        <v>8.2859999999999996</v>
      </c>
      <c r="I20" s="63">
        <v>2.5249999999999999</v>
      </c>
      <c r="J20" s="108">
        <f t="shared" si="0"/>
        <v>1.664E-11</v>
      </c>
    </row>
    <row r="21" spans="1:10" s="82" customFormat="1" x14ac:dyDescent="0.35">
      <c r="A21" s="61">
        <v>15</v>
      </c>
      <c r="B21" s="62">
        <v>5.7099999999999998E-2</v>
      </c>
      <c r="C21" s="62">
        <v>1.45</v>
      </c>
      <c r="D21" s="62">
        <v>17.5</v>
      </c>
      <c r="E21" s="62">
        <v>6.9</v>
      </c>
      <c r="F21" s="62">
        <v>3.26</v>
      </c>
      <c r="G21" s="62">
        <v>1.65</v>
      </c>
      <c r="H21" s="62">
        <v>10.45</v>
      </c>
      <c r="I21" s="63">
        <v>3.1840000000000002</v>
      </c>
      <c r="J21" s="108">
        <f t="shared" si="0"/>
        <v>1.3199999999999999E-11</v>
      </c>
    </row>
    <row r="22" spans="1:10" s="82" customFormat="1" x14ac:dyDescent="0.35">
      <c r="A22" s="61">
        <v>16</v>
      </c>
      <c r="B22" s="62">
        <v>5.0799999999999998E-2</v>
      </c>
      <c r="C22" s="62">
        <v>1.2909999999999999</v>
      </c>
      <c r="D22" s="62">
        <v>19.7</v>
      </c>
      <c r="E22" s="62">
        <v>7.75</v>
      </c>
      <c r="F22" s="62">
        <v>2.58</v>
      </c>
      <c r="G22" s="62">
        <v>1.31</v>
      </c>
      <c r="H22" s="62">
        <v>13.17</v>
      </c>
      <c r="I22" s="63">
        <v>4.016</v>
      </c>
      <c r="J22" s="108">
        <f t="shared" si="0"/>
        <v>1.0479999999999999E-11</v>
      </c>
    </row>
    <row r="23" spans="1:10" s="82" customFormat="1" ht="15" thickBot="1" x14ac:dyDescent="0.4">
      <c r="A23" s="64">
        <v>17</v>
      </c>
      <c r="B23" s="65">
        <v>4.53E-2</v>
      </c>
      <c r="C23" s="65">
        <v>1.1499999999999999</v>
      </c>
      <c r="D23" s="65">
        <v>22.1</v>
      </c>
      <c r="E23" s="65">
        <v>8.6999999999999993</v>
      </c>
      <c r="F23" s="65">
        <v>2.0499999999999998</v>
      </c>
      <c r="G23" s="65">
        <v>1.04</v>
      </c>
      <c r="H23" s="65">
        <v>16.61</v>
      </c>
      <c r="I23" s="66">
        <v>5.0640000000000001</v>
      </c>
      <c r="J23" s="108">
        <f t="shared" si="0"/>
        <v>8.3200000000000001E-12</v>
      </c>
    </row>
    <row r="24" spans="1:10" s="82" customFormat="1" ht="15" thickTop="1" x14ac:dyDescent="0.35">
      <c r="A24" s="67">
        <v>18</v>
      </c>
      <c r="B24" s="68">
        <v>4.0300000000000002E-2</v>
      </c>
      <c r="C24" s="68">
        <v>1.024</v>
      </c>
      <c r="D24" s="68">
        <v>24.8</v>
      </c>
      <c r="E24" s="68">
        <v>9.77</v>
      </c>
      <c r="F24" s="68">
        <v>1.62</v>
      </c>
      <c r="G24" s="68">
        <v>0.82299999999999995</v>
      </c>
      <c r="H24" s="68">
        <v>20.95</v>
      </c>
      <c r="I24" s="69">
        <v>6.3849999999999998</v>
      </c>
      <c r="J24" s="108">
        <f t="shared" si="0"/>
        <v>6.5839999999999994E-12</v>
      </c>
    </row>
    <row r="25" spans="1:10" s="82" customFormat="1" x14ac:dyDescent="0.35">
      <c r="A25" s="70">
        <v>19</v>
      </c>
      <c r="B25" s="71">
        <v>3.5900000000000001E-2</v>
      </c>
      <c r="C25" s="71">
        <v>0.91200000000000003</v>
      </c>
      <c r="D25" s="71">
        <v>27.9</v>
      </c>
      <c r="E25" s="71">
        <v>11</v>
      </c>
      <c r="F25" s="71">
        <v>1.29</v>
      </c>
      <c r="G25" s="71">
        <v>0.65300000000000002</v>
      </c>
      <c r="H25" s="71">
        <v>26.42</v>
      </c>
      <c r="I25" s="72">
        <v>8.0510000000000002</v>
      </c>
      <c r="J25" s="108">
        <f t="shared" si="0"/>
        <v>5.2240000000000004E-12</v>
      </c>
    </row>
    <row r="26" spans="1:10" s="82" customFormat="1" x14ac:dyDescent="0.35">
      <c r="A26" s="70">
        <v>20</v>
      </c>
      <c r="B26" s="71">
        <v>3.2000000000000001E-2</v>
      </c>
      <c r="C26" s="71">
        <v>0.81200000000000006</v>
      </c>
      <c r="D26" s="71">
        <v>31.3</v>
      </c>
      <c r="E26" s="71">
        <v>12.3</v>
      </c>
      <c r="F26" s="71">
        <v>1.02</v>
      </c>
      <c r="G26" s="71">
        <v>0.51800000000000002</v>
      </c>
      <c r="H26" s="71">
        <v>33.31</v>
      </c>
      <c r="I26" s="72">
        <v>10.15</v>
      </c>
      <c r="J26" s="108">
        <f t="shared" si="0"/>
        <v>4.1440000000000001E-12</v>
      </c>
    </row>
    <row r="27" spans="1:10" s="82" customFormat="1" x14ac:dyDescent="0.35">
      <c r="A27" s="70">
        <v>21</v>
      </c>
      <c r="B27" s="71">
        <v>2.8500000000000001E-2</v>
      </c>
      <c r="C27" s="71">
        <v>0.72299999999999998</v>
      </c>
      <c r="D27" s="71">
        <v>35.1</v>
      </c>
      <c r="E27" s="71">
        <v>13.8</v>
      </c>
      <c r="F27" s="71">
        <v>0.81</v>
      </c>
      <c r="G27" s="71">
        <v>0.41</v>
      </c>
      <c r="H27" s="71">
        <v>42</v>
      </c>
      <c r="I27" s="72">
        <v>12.8</v>
      </c>
      <c r="J27" s="108">
        <f t="shared" si="0"/>
        <v>3.2799999999999998E-12</v>
      </c>
    </row>
    <row r="28" spans="1:10" s="82" customFormat="1" x14ac:dyDescent="0.35">
      <c r="A28" s="70">
        <v>22</v>
      </c>
      <c r="B28" s="71">
        <v>2.53E-2</v>
      </c>
      <c r="C28" s="71">
        <v>0.64400000000000002</v>
      </c>
      <c r="D28" s="71">
        <v>39.5</v>
      </c>
      <c r="E28" s="71">
        <v>15.5</v>
      </c>
      <c r="F28" s="71">
        <v>0.64200000000000002</v>
      </c>
      <c r="G28" s="71">
        <v>0.32600000000000001</v>
      </c>
      <c r="H28" s="71">
        <v>52.96</v>
      </c>
      <c r="I28" s="72">
        <v>16.14</v>
      </c>
      <c r="J28" s="108">
        <f t="shared" si="0"/>
        <v>2.6080000000000002E-12</v>
      </c>
    </row>
    <row r="29" spans="1:10" s="82" customFormat="1" x14ac:dyDescent="0.35">
      <c r="A29" s="70">
        <v>23</v>
      </c>
      <c r="B29" s="71">
        <v>2.2599999999999999E-2</v>
      </c>
      <c r="C29" s="71">
        <v>0.57299999999999995</v>
      </c>
      <c r="D29" s="71">
        <v>44.3</v>
      </c>
      <c r="E29" s="71">
        <v>17.399999999999999</v>
      </c>
      <c r="F29" s="71">
        <v>0.50900000000000001</v>
      </c>
      <c r="G29" s="71">
        <v>0.25800000000000001</v>
      </c>
      <c r="H29" s="71">
        <v>66.790000000000006</v>
      </c>
      <c r="I29" s="72">
        <v>20.36</v>
      </c>
      <c r="J29" s="108">
        <f t="shared" si="0"/>
        <v>2.0640000000000001E-12</v>
      </c>
    </row>
    <row r="30" spans="1:10" s="82" customFormat="1" x14ac:dyDescent="0.35">
      <c r="A30" s="70">
        <v>24</v>
      </c>
      <c r="B30" s="71">
        <v>2.01E-2</v>
      </c>
      <c r="C30" s="71">
        <v>0.51100000000000001</v>
      </c>
      <c r="D30" s="71">
        <v>49.7</v>
      </c>
      <c r="E30" s="71">
        <v>19.600000000000001</v>
      </c>
      <c r="F30" s="71">
        <v>0.40400000000000003</v>
      </c>
      <c r="G30" s="71">
        <v>0.20499999999999999</v>
      </c>
      <c r="H30" s="71">
        <v>84.22</v>
      </c>
      <c r="I30" s="72">
        <v>25.67</v>
      </c>
      <c r="J30" s="108">
        <f t="shared" si="0"/>
        <v>1.6399999999999999E-12</v>
      </c>
    </row>
    <row r="31" spans="1:10" s="82" customFormat="1" x14ac:dyDescent="0.35">
      <c r="A31" s="70">
        <v>25</v>
      </c>
      <c r="B31" s="71">
        <v>1.7899999999999999E-2</v>
      </c>
      <c r="C31" s="71">
        <v>0.45500000000000002</v>
      </c>
      <c r="D31" s="71">
        <v>55.9</v>
      </c>
      <c r="E31" s="71">
        <v>22</v>
      </c>
      <c r="F31" s="71">
        <v>0.32</v>
      </c>
      <c r="G31" s="71">
        <v>0.16200000000000001</v>
      </c>
      <c r="H31" s="71">
        <v>106.2</v>
      </c>
      <c r="I31" s="72">
        <v>32.369999999999997</v>
      </c>
      <c r="J31" s="108">
        <f t="shared" si="0"/>
        <v>1.2959999999999999E-12</v>
      </c>
    </row>
    <row r="32" spans="1:10" s="82" customFormat="1" x14ac:dyDescent="0.35">
      <c r="A32" s="70">
        <v>26</v>
      </c>
      <c r="B32" s="71">
        <v>1.5900000000000001E-2</v>
      </c>
      <c r="C32" s="71">
        <v>0.40500000000000003</v>
      </c>
      <c r="D32" s="71">
        <v>62.7</v>
      </c>
      <c r="E32" s="71">
        <v>24.7</v>
      </c>
      <c r="F32" s="71">
        <v>0.254</v>
      </c>
      <c r="G32" s="71">
        <v>0.129</v>
      </c>
      <c r="H32" s="71">
        <v>133.9</v>
      </c>
      <c r="I32" s="72">
        <v>40.81</v>
      </c>
      <c r="J32" s="108">
        <f t="shared" si="0"/>
        <v>1.032E-12</v>
      </c>
    </row>
    <row r="33" spans="1:10" s="82" customFormat="1" x14ac:dyDescent="0.35">
      <c r="A33" s="70">
        <v>27</v>
      </c>
      <c r="B33" s="71">
        <v>1.4200000000000001E-2</v>
      </c>
      <c r="C33" s="71">
        <v>0.36099999999999999</v>
      </c>
      <c r="D33" s="71">
        <v>70.400000000000006</v>
      </c>
      <c r="E33" s="71">
        <v>27.7</v>
      </c>
      <c r="F33" s="71">
        <v>0.20200000000000001</v>
      </c>
      <c r="G33" s="71">
        <v>0.10199999999999999</v>
      </c>
      <c r="H33" s="71">
        <v>168.9</v>
      </c>
      <c r="I33" s="72">
        <v>51.47</v>
      </c>
      <c r="J33" s="108">
        <f t="shared" si="0"/>
        <v>8.1599999999999986E-13</v>
      </c>
    </row>
    <row r="34" spans="1:10" s="82" customFormat="1" x14ac:dyDescent="0.35">
      <c r="A34" s="70">
        <v>28</v>
      </c>
      <c r="B34" s="71">
        <v>1.26E-2</v>
      </c>
      <c r="C34" s="71">
        <v>0.32100000000000001</v>
      </c>
      <c r="D34" s="71">
        <v>79.099999999999994</v>
      </c>
      <c r="E34" s="71">
        <v>31.1</v>
      </c>
      <c r="F34" s="71">
        <v>0.16</v>
      </c>
      <c r="G34" s="71">
        <v>8.1000000000000003E-2</v>
      </c>
      <c r="H34" s="71">
        <v>212.9</v>
      </c>
      <c r="I34" s="72">
        <v>64.900000000000006</v>
      </c>
      <c r="J34" s="108">
        <f t="shared" si="0"/>
        <v>6.4799999999999997E-13</v>
      </c>
    </row>
    <row r="35" spans="1:10" s="82" customFormat="1" ht="15" thickBot="1" x14ac:dyDescent="0.4">
      <c r="A35" s="73">
        <v>29</v>
      </c>
      <c r="B35" s="74">
        <v>1.1299999999999999E-2</v>
      </c>
      <c r="C35" s="74">
        <v>0.28599999999999998</v>
      </c>
      <c r="D35" s="74">
        <v>88.8</v>
      </c>
      <c r="E35" s="74">
        <v>35</v>
      </c>
      <c r="F35" s="74">
        <v>0.127</v>
      </c>
      <c r="G35" s="74">
        <v>6.4199999999999993E-2</v>
      </c>
      <c r="H35" s="74">
        <v>268.5</v>
      </c>
      <c r="I35" s="75">
        <v>81.84</v>
      </c>
      <c r="J35" s="108">
        <f t="shared" si="0"/>
        <v>5.1359999999999995E-13</v>
      </c>
    </row>
    <row r="36" spans="1:10" s="82" customFormat="1" ht="15" thickTop="1" x14ac:dyDescent="0.35">
      <c r="A36" s="76">
        <v>30</v>
      </c>
      <c r="B36" s="77">
        <v>0.01</v>
      </c>
      <c r="C36" s="77">
        <v>0.255</v>
      </c>
      <c r="D36" s="77">
        <v>99.7</v>
      </c>
      <c r="E36" s="77">
        <v>39.299999999999997</v>
      </c>
      <c r="F36" s="77">
        <v>0.10100000000000001</v>
      </c>
      <c r="G36" s="77">
        <v>5.0900000000000001E-2</v>
      </c>
      <c r="H36" s="77">
        <v>338.6</v>
      </c>
      <c r="I36" s="78">
        <v>103.2</v>
      </c>
      <c r="J36" s="108">
        <f t="shared" si="0"/>
        <v>4.0719999999999997E-13</v>
      </c>
    </row>
    <row r="37" spans="1:10" s="82" customFormat="1" x14ac:dyDescent="0.35">
      <c r="A37" s="61">
        <v>31</v>
      </c>
      <c r="B37" s="62">
        <v>8.9300000000000004E-3</v>
      </c>
      <c r="C37" s="62">
        <v>0.22700000000000001</v>
      </c>
      <c r="D37" s="62">
        <v>112</v>
      </c>
      <c r="E37" s="62">
        <v>44.1</v>
      </c>
      <c r="F37" s="62">
        <v>7.9699999999999993E-2</v>
      </c>
      <c r="G37" s="62">
        <v>4.0399999999999998E-2</v>
      </c>
      <c r="H37" s="62">
        <v>426.9</v>
      </c>
      <c r="I37" s="63">
        <v>130.1</v>
      </c>
      <c r="J37" s="108">
        <f t="shared" si="0"/>
        <v>3.2319999999999998E-13</v>
      </c>
    </row>
    <row r="38" spans="1:10" s="82" customFormat="1" x14ac:dyDescent="0.35">
      <c r="A38" s="61">
        <v>32</v>
      </c>
      <c r="B38" s="62">
        <v>7.9500000000000005E-3</v>
      </c>
      <c r="C38" s="62">
        <v>0.20200000000000001</v>
      </c>
      <c r="D38" s="62">
        <v>126</v>
      </c>
      <c r="E38" s="62">
        <v>49.5</v>
      </c>
      <c r="F38" s="62">
        <v>6.3200000000000006E-2</v>
      </c>
      <c r="G38" s="62">
        <v>3.2000000000000001E-2</v>
      </c>
      <c r="H38" s="62">
        <v>538.29999999999995</v>
      </c>
      <c r="I38" s="63">
        <v>164.1</v>
      </c>
      <c r="J38" s="108">
        <f t="shared" si="0"/>
        <v>2.5600000000000002E-13</v>
      </c>
    </row>
    <row r="39" spans="1:10" s="82" customFormat="1" x14ac:dyDescent="0.35">
      <c r="A39" s="61">
        <v>33</v>
      </c>
      <c r="B39" s="62">
        <v>7.0800000000000004E-3</v>
      </c>
      <c r="C39" s="62">
        <v>0.18</v>
      </c>
      <c r="D39" s="62">
        <v>141</v>
      </c>
      <c r="E39" s="62">
        <v>55.6</v>
      </c>
      <c r="F39" s="62">
        <v>5.0099999999999999E-2</v>
      </c>
      <c r="G39" s="62">
        <v>2.5399999999999999E-2</v>
      </c>
      <c r="H39" s="62">
        <v>678.8</v>
      </c>
      <c r="I39" s="63">
        <v>206.9</v>
      </c>
      <c r="J39" s="108">
        <f t="shared" si="0"/>
        <v>2.0319999999999998E-13</v>
      </c>
    </row>
    <row r="40" spans="1:10" s="82" customFormat="1" x14ac:dyDescent="0.35">
      <c r="A40" s="61">
        <v>34</v>
      </c>
      <c r="B40" s="62">
        <v>6.3E-3</v>
      </c>
      <c r="C40" s="62">
        <v>0.16</v>
      </c>
      <c r="D40" s="62">
        <v>159</v>
      </c>
      <c r="E40" s="62">
        <v>62.4</v>
      </c>
      <c r="F40" s="62">
        <v>3.9800000000000002E-2</v>
      </c>
      <c r="G40" s="62">
        <v>2.01E-2</v>
      </c>
      <c r="H40" s="62">
        <v>856</v>
      </c>
      <c r="I40" s="63">
        <v>260.89999999999998</v>
      </c>
      <c r="J40" s="108">
        <f t="shared" si="0"/>
        <v>1.6080000000000001E-13</v>
      </c>
    </row>
    <row r="41" spans="1:10" s="82" customFormat="1" x14ac:dyDescent="0.35">
      <c r="A41" s="61">
        <v>35</v>
      </c>
      <c r="B41" s="62">
        <v>5.6100000000000004E-3</v>
      </c>
      <c r="C41" s="62">
        <v>0.14299999999999999</v>
      </c>
      <c r="D41" s="62">
        <v>178</v>
      </c>
      <c r="E41" s="62">
        <v>70.099999999999994</v>
      </c>
      <c r="F41" s="62">
        <v>3.15E-2</v>
      </c>
      <c r="G41" s="62">
        <v>1.6E-2</v>
      </c>
      <c r="H41" s="62">
        <v>1079</v>
      </c>
      <c r="I41" s="63">
        <v>329</v>
      </c>
      <c r="J41" s="108">
        <f t="shared" si="0"/>
        <v>1.2800000000000001E-13</v>
      </c>
    </row>
    <row r="42" spans="1:10" s="82" customFormat="1" x14ac:dyDescent="0.35">
      <c r="A42" s="61">
        <v>36</v>
      </c>
      <c r="B42" s="62">
        <v>5.0000000000000001E-3</v>
      </c>
      <c r="C42" s="62">
        <v>0.127</v>
      </c>
      <c r="D42" s="62">
        <v>200</v>
      </c>
      <c r="E42" s="62">
        <v>78.7</v>
      </c>
      <c r="F42" s="62">
        <v>2.5000000000000001E-2</v>
      </c>
      <c r="G42" s="62">
        <v>1.2699999999999999E-2</v>
      </c>
      <c r="H42" s="62">
        <v>1361</v>
      </c>
      <c r="I42" s="63">
        <v>414.8</v>
      </c>
      <c r="J42" s="108">
        <f t="shared" si="0"/>
        <v>1.0159999999999999E-13</v>
      </c>
    </row>
    <row r="43" spans="1:10" s="82" customFormat="1" x14ac:dyDescent="0.35">
      <c r="A43" s="61">
        <v>37</v>
      </c>
      <c r="B43" s="62">
        <v>4.45E-3</v>
      </c>
      <c r="C43" s="62">
        <v>0.113</v>
      </c>
      <c r="D43" s="62">
        <v>225</v>
      </c>
      <c r="E43" s="62">
        <v>88.4</v>
      </c>
      <c r="F43" s="62">
        <v>1.9800000000000002E-2</v>
      </c>
      <c r="G43" s="62">
        <v>0.01</v>
      </c>
      <c r="H43" s="62">
        <v>1716</v>
      </c>
      <c r="I43" s="63">
        <v>523.1</v>
      </c>
      <c r="J43" s="108">
        <f t="shared" si="0"/>
        <v>8E-14</v>
      </c>
    </row>
    <row r="44" spans="1:10" s="82" customFormat="1" x14ac:dyDescent="0.35">
      <c r="A44" s="61">
        <v>38</v>
      </c>
      <c r="B44" s="62">
        <v>3.9699999999999996E-3</v>
      </c>
      <c r="C44" s="62">
        <v>0.10100000000000001</v>
      </c>
      <c r="D44" s="62">
        <v>252</v>
      </c>
      <c r="E44" s="62">
        <v>99.3</v>
      </c>
      <c r="F44" s="62">
        <v>1.5699999999999999E-2</v>
      </c>
      <c r="G44" s="62">
        <v>7.9699999999999997E-3</v>
      </c>
      <c r="H44" s="62">
        <v>2164</v>
      </c>
      <c r="I44" s="63">
        <v>659.6</v>
      </c>
      <c r="J44" s="108">
        <f t="shared" si="0"/>
        <v>6.3759999999999998E-14</v>
      </c>
    </row>
    <row r="45" spans="1:10" s="82" customFormat="1" x14ac:dyDescent="0.35">
      <c r="A45" s="61">
        <v>39</v>
      </c>
      <c r="B45" s="62">
        <v>3.5300000000000002E-3</v>
      </c>
      <c r="C45" s="62">
        <v>8.9700000000000002E-2</v>
      </c>
      <c r="D45" s="62">
        <v>283</v>
      </c>
      <c r="E45" s="62">
        <v>111</v>
      </c>
      <c r="F45" s="62">
        <v>1.2500000000000001E-2</v>
      </c>
      <c r="G45" s="62">
        <v>6.3200000000000001E-3</v>
      </c>
      <c r="H45" s="62">
        <v>2729</v>
      </c>
      <c r="I45" s="63">
        <v>831.8</v>
      </c>
      <c r="J45" s="108">
        <f t="shared" si="0"/>
        <v>5.0560000000000001E-14</v>
      </c>
    </row>
    <row r="46" spans="1:10" s="82" customFormat="1" ht="15" thickBot="1" x14ac:dyDescent="0.4">
      <c r="A46" s="79">
        <v>40</v>
      </c>
      <c r="B46" s="80">
        <v>3.14E-3</v>
      </c>
      <c r="C46" s="80">
        <v>7.9899999999999999E-2</v>
      </c>
      <c r="D46" s="80">
        <v>318</v>
      </c>
      <c r="E46" s="80">
        <v>125</v>
      </c>
      <c r="F46" s="80">
        <v>9.8899999999999995E-3</v>
      </c>
      <c r="G46" s="80">
        <v>5.0099999999999997E-3</v>
      </c>
      <c r="H46" s="80">
        <v>3441</v>
      </c>
      <c r="I46" s="81">
        <v>1049</v>
      </c>
      <c r="J46" s="109">
        <f t="shared" si="0"/>
        <v>4.0079999999999998E-14</v>
      </c>
    </row>
    <row r="47" spans="1:10" ht="15" thickTop="1" x14ac:dyDescent="0.35">
      <c r="A47" s="403" t="s">
        <v>233</v>
      </c>
      <c r="B47" s="403"/>
      <c r="C47" s="403"/>
      <c r="D47" s="403"/>
      <c r="E47" s="403"/>
      <c r="F47" s="403"/>
      <c r="G47" s="403"/>
      <c r="H47" s="403"/>
      <c r="I47" s="403"/>
      <c r="J47" s="403"/>
    </row>
  </sheetData>
  <sheetProtection algorithmName="SHA-512" hashValue="KLWbhnA30pY0a01/WtXSiDLNj8pshq5mtNMH1LCoVMSZBtjrxVeHal5ADnu7W368WNjvfeMVw+7hw13+g63MbQ==" saltValue="CM6SyB0Q+xvxPmxV99L3mw==" spinCount="100000" sheet="1" objects="1" scenarios="1"/>
  <mergeCells count="7">
    <mergeCell ref="J1:J2"/>
    <mergeCell ref="A47:J47"/>
    <mergeCell ref="A1:A2"/>
    <mergeCell ref="B1:C1"/>
    <mergeCell ref="D1:E1"/>
    <mergeCell ref="F1:G1"/>
    <mergeCell ref="H1:I1"/>
  </mergeCells>
  <pageMargins left="0.7" right="0.7" top="0.75" bottom="0.75" header="0.3" footer="0.3"/>
  <pageSetup paperSize="9" orientation="portrait" r:id="rId1"/>
  <rowBreaks count="1" manualBreakCount="1">
    <brk id="22" max="8" man="1"/>
  </rowBreaks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Interface</vt:lpstr>
      <vt:lpstr>Group 20 Sheet</vt:lpstr>
      <vt:lpstr>Input</vt:lpstr>
      <vt:lpstr>Output without I lim</vt:lpstr>
      <vt:lpstr>Output with I lim</vt:lpstr>
      <vt:lpstr>MAGNETS (OPT)</vt:lpstr>
      <vt:lpstr>WIRES (OPT)</vt:lpstr>
      <vt:lpstr>AWGList</vt:lpstr>
      <vt:lpstr>Magnets</vt:lpstr>
      <vt:lpstr>'Group 20 Sheet'!Print_Area</vt:lpstr>
      <vt:lpstr>'WIRES (OPT)'!Print_Area</vt:lpstr>
    </vt:vector>
  </TitlesOfParts>
  <Manager/>
  <Company>QUT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Queensland University of Technology</dc:creator>
  <cp:keywords/>
  <dc:description/>
  <cp:lastModifiedBy>Krystian Rozanski</cp:lastModifiedBy>
  <cp:revision/>
  <dcterms:created xsi:type="dcterms:W3CDTF">2012-08-27T07:23:36Z</dcterms:created>
  <dcterms:modified xsi:type="dcterms:W3CDTF">2026-05-28T00:16:51Z</dcterms:modified>
  <cp:category/>
  <cp:contentStatus/>
</cp:coreProperties>
</file>